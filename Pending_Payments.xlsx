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ing 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mmm d, yyyy"/>
    <numFmt numFmtId="165" formatCode="&quot;$&quot;#,##0.00"/>
    <numFmt numFmtId="166" formatCode="0.0"/>
    <numFmt numFmtId="167" formatCode="0.0%"/>
    <numFmt numFmtId="168" formatCode="yyyy-mm-dd"/>
    <numFmt numFmtId="169" formatCode="mm/dd/yyyy"/>
  </numFmts>
  <fonts count="10">
    <font>
      <name val="Calibri"/>
      <family val="2"/>
      <color theme="1"/>
      <sz val="11"/>
      <scheme val="minor"/>
    </font>
    <font>
      <b val="1"/>
      <color rgb="001F3A5F"/>
      <sz val="20"/>
    </font>
    <font>
      <b val="1"/>
    </font>
    <font>
      <i val="1"/>
      <color rgb="00666666"/>
    </font>
    <font>
      <b val="1"/>
      <color rgb="00666666"/>
      <sz val="9"/>
    </font>
    <font>
      <color rgb="00888888"/>
      <sz val="9"/>
    </font>
    <font>
      <b val="1"/>
      <color rgb="001F3A5F"/>
      <sz val="16"/>
    </font>
    <font>
      <b val="1"/>
      <color rgb="001F3A5F"/>
    </font>
    <font>
      <b val="1"/>
      <color rgb="00FFFFFF"/>
    </font>
    <font/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164" fontId="0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8" fillId="2" borderId="0" pivotButton="0" quotePrefix="0" xfId="0"/>
    <xf numFmtId="0" fontId="0" fillId="0" borderId="1" pivotButton="0" quotePrefix="0" xfId="0"/>
    <xf numFmtId="165" fontId="0" fillId="0" borderId="1" pivotButton="0" quotePrefix="0" xfId="0"/>
    <xf numFmtId="167" fontId="0" fillId="0" borderId="1" pivotButton="0" quotePrefix="0" xfId="0"/>
    <xf numFmtId="0" fontId="4" fillId="0" borderId="0" pivotButton="0" quotePrefix="0" xfId="0"/>
    <xf numFmtId="165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166" fontId="6" fillId="0" borderId="0" applyAlignment="1" pivotButton="0" quotePrefix="0" xfId="0">
      <alignment horizontal="left"/>
    </xf>
    <xf numFmtId="0" fontId="5" fillId="0" borderId="0" pivotButton="0" quotePrefix="0" xfId="0"/>
    <xf numFmtId="0" fontId="8" fillId="2" borderId="0" applyAlignment="1" pivotButton="0" quotePrefix="0" xfId="0">
      <alignment horizontal="center"/>
    </xf>
    <xf numFmtId="0" fontId="9" fillId="0" borderId="1" pivotButton="0" quotePrefix="0" xfId="0"/>
    <xf numFmtId="169" fontId="0" fillId="0" borderId="1" pivotButton="0" quotePrefix="0" xfId="0"/>
    <xf numFmtId="0" fontId="0" fillId="0" borderId="1" applyAlignment="1" pivotButton="0" quotePrefix="0" xfId="0">
      <alignment horizontal="center"/>
    </xf>
    <xf numFmtId="1" fontId="0" fillId="0" borderId="1" pivotButton="0" quotePrefix="0" xfId="0"/>
    <xf numFmtId="0" fontId="2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dxfs count="3">
    <dxf>
      <font>
        <color rgb="00999999"/>
      </font>
      <fill>
        <patternFill patternType="solid">
          <bgColor rgb="00EEEEEE"/>
        </patternFill>
      </fill>
    </dxf>
    <dxf>
      <fill>
        <patternFill patternType="solid">
          <bgColor rgb="00F8D7DA"/>
        </patternFill>
      </fill>
    </dxf>
    <dxf>
      <fill>
        <patternFill patternType="solid">
          <b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10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34" customWidth="1" min="4" max="4"/>
    <col width="13" customWidth="1" min="5" max="5"/>
    <col width="13" customWidth="1" min="6" max="6"/>
    <col width="7" customWidth="1" min="7" max="7"/>
    <col width="11" customWidth="1" min="8" max="8"/>
    <col width="15" customWidth="1" min="9" max="9"/>
    <col width="3" customWidth="1" min="10" max="10"/>
    <col width="18" customWidth="1" min="11" max="11"/>
    <col width="10" customWidth="1" min="12" max="12"/>
    <col width="14" customWidth="1" min="13" max="13"/>
    <col width="11" customWidth="1" min="14" max="14"/>
  </cols>
  <sheetData>
    <row r="2">
      <c r="A2" s="1" t="inlineStr">
        <is>
          <t>Pending Payments</t>
        </is>
      </c>
      <c r="H2" s="2" t="inlineStr">
        <is>
          <t>As of</t>
        </is>
      </c>
      <c r="I2" s="3">
        <f>TODAY()</f>
        <v/>
      </c>
      <c r="K2" s="4" t="inlineStr">
        <is>
          <t>AGING SUMMARY</t>
        </is>
      </c>
    </row>
    <row r="3">
      <c r="A3" s="5" t="inlineStr">
        <is>
          <t>Enter Y in Paid when an invoice is settled. Aging and totals update automatically each day.</t>
        </is>
      </c>
      <c r="K3" s="6" t="inlineStr">
        <is>
          <t>Age Bucket</t>
        </is>
      </c>
      <c r="L3" s="6" t="inlineStr">
        <is>
          <t>Invoices</t>
        </is>
      </c>
      <c r="M3" s="6" t="inlineStr">
        <is>
          <t>Outstanding</t>
        </is>
      </c>
      <c r="N3" s="6" t="inlineStr">
        <is>
          <t>% of Total</t>
        </is>
      </c>
    </row>
    <row r="4">
      <c r="K4" s="7" t="inlineStr">
        <is>
          <t>Under 30 Days</t>
        </is>
      </c>
      <c r="L4" s="7">
        <f>COUNTIF($I$11:$I$106,K4)</f>
        <v/>
      </c>
      <c r="M4" s="8">
        <f>SUMIF($I$11:$I$106,K4,$F$11:$F$106)</f>
        <v/>
      </c>
      <c r="N4" s="9">
        <f>IF($A$6=0,0,M4/$A$6)</f>
        <v/>
      </c>
    </row>
    <row r="5">
      <c r="A5" s="10" t="inlineStr">
        <is>
          <t>TOTAL OUTSTANDING</t>
        </is>
      </c>
      <c r="C5" s="10" t="inlineStr">
        <is>
          <t>OPEN INVOICES</t>
        </is>
      </c>
      <c r="E5" s="10" t="inlineStr">
        <is>
          <t>AVERAGE INVOICE</t>
        </is>
      </c>
      <c r="G5" s="10" t="inlineStr">
        <is>
          <t>AVERAGE DAYS OPEN</t>
        </is>
      </c>
      <c r="K5" s="7" t="inlineStr">
        <is>
          <t>31–60 Days</t>
        </is>
      </c>
      <c r="L5" s="7">
        <f>COUNTIF($I$11:$I$106,K5)</f>
        <v/>
      </c>
      <c r="M5" s="8">
        <f>SUMIF($I$11:$I$106,K5,$F$11:$F$106)</f>
        <v/>
      </c>
      <c r="N5" s="9">
        <f>IF($A$6=0,0,M5/$A$6)</f>
        <v/>
      </c>
    </row>
    <row r="6">
      <c r="A6" s="11">
        <f>SUM($M$4:$M$10)</f>
        <v/>
      </c>
      <c r="C6" s="12">
        <f>SUM($L$4:$L$10)</f>
        <v/>
      </c>
      <c r="E6" s="11">
        <f>IF($C$6=0,0,$A$6/$C$6)</f>
        <v/>
      </c>
      <c r="G6" s="13">
        <f>IF(COUNT(H11:H106)=0,0,SUM(H11:H106)/COUNT(H11:H106))</f>
        <v/>
      </c>
      <c r="K6" s="7" t="inlineStr">
        <is>
          <t>61–90 Days</t>
        </is>
      </c>
      <c r="L6" s="7">
        <f>COUNTIF($I$11:$I$106,K6)</f>
        <v/>
      </c>
      <c r="M6" s="8">
        <f>SUMIF($I$11:$I$106,K6,$F$11:$F$106)</f>
        <v/>
      </c>
      <c r="N6" s="9">
        <f>IF($A$6=0,0,M6/$A$6)</f>
        <v/>
      </c>
    </row>
    <row r="7">
      <c r="A7" s="14" t="inlineStr">
        <is>
          <t>Unpaid balance</t>
        </is>
      </c>
      <c r="C7" s="14" t="inlineStr">
        <is>
          <t>Active items</t>
        </is>
      </c>
      <c r="E7" s="14" t="inlineStr">
        <is>
          <t>Per open invoice</t>
        </is>
      </c>
      <c r="G7" s="14" t="inlineStr">
        <is>
          <t>Dated open invoices</t>
        </is>
      </c>
      <c r="K7" s="7" t="inlineStr">
        <is>
          <t>91–120 Days</t>
        </is>
      </c>
      <c r="L7" s="7">
        <f>COUNTIF($I$11:$I$106,K7)</f>
        <v/>
      </c>
      <c r="M7" s="8">
        <f>SUMIF($I$11:$I$106,K7,$F$11:$F$106)</f>
        <v/>
      </c>
      <c r="N7" s="9">
        <f>IF($A$6=0,0,M7/$A$6)</f>
        <v/>
      </c>
    </row>
    <row r="8">
      <c r="K8" s="7" t="inlineStr">
        <is>
          <t>121–150 Days</t>
        </is>
      </c>
      <c r="L8" s="7">
        <f>COUNTIF($I$11:$I$106,K8)</f>
        <v/>
      </c>
      <c r="M8" s="8">
        <f>SUMIF($I$11:$I$106,K8,$F$11:$F$106)</f>
        <v/>
      </c>
      <c r="N8" s="9">
        <f>IF($A$6=0,0,M8/$A$6)</f>
        <v/>
      </c>
    </row>
    <row r="9">
      <c r="K9" s="7" t="inlineStr">
        <is>
          <t>151+ Days</t>
        </is>
      </c>
      <c r="L9" s="7">
        <f>COUNTIF($I$11:$I$106,K9)</f>
        <v/>
      </c>
      <c r="M9" s="8">
        <f>SUMIF($I$11:$I$106,K9,$F$11:$F$106)</f>
        <v/>
      </c>
      <c r="N9" s="9">
        <f>IF($A$6=0,0,M9/$A$6)</f>
        <v/>
      </c>
    </row>
    <row r="10">
      <c r="A10" s="15" t="inlineStr">
        <is>
          <t>Case Name</t>
        </is>
      </c>
      <c r="B10" s="15" t="inlineStr">
        <is>
          <t>File Number</t>
        </is>
      </c>
      <c r="C10" s="15" t="inlineStr">
        <is>
          <t>Attorney Name</t>
        </is>
      </c>
      <c r="D10" s="15" t="inlineStr">
        <is>
          <t>Law Firm</t>
        </is>
      </c>
      <c r="E10" s="15" t="inlineStr">
        <is>
          <t>Invoice Sent</t>
        </is>
      </c>
      <c r="F10" s="15" t="inlineStr">
        <is>
          <t>Amount</t>
        </is>
      </c>
      <c r="G10" s="15" t="inlineStr">
        <is>
          <t>Paid</t>
        </is>
      </c>
      <c r="H10" s="15" t="inlineStr">
        <is>
          <t>Days Open</t>
        </is>
      </c>
      <c r="I10" s="15" t="inlineStr">
        <is>
          <t>Status</t>
        </is>
      </c>
      <c r="K10" s="16" t="inlineStr">
        <is>
          <t>Date Needed</t>
        </is>
      </c>
      <c r="L10" s="7">
        <f>COUNTIF($I$11:$I$106,K10)</f>
        <v/>
      </c>
      <c r="M10" s="8">
        <f>SUMIF($I$11:$I$106,K10,$F$11:$F$106)</f>
        <v/>
      </c>
      <c r="N10" s="9">
        <f>IF($A$6=0,0,M10/$A$6)</f>
        <v/>
      </c>
    </row>
    <row r="11">
      <c r="A11" s="7" t="inlineStr">
        <is>
          <t>Fiorentino Thomas</t>
        </is>
      </c>
      <c r="B11" s="7" t="inlineStr">
        <is>
          <t>File# 1699.0041</t>
        </is>
      </c>
      <c r="C11" s="7" t="inlineStr">
        <is>
          <t>Jeffrey Magdalen</t>
        </is>
      </c>
      <c r="D11" s="7" t="inlineStr">
        <is>
          <t>Gerber Ciano Kelly Brady LLP</t>
        </is>
      </c>
      <c r="E11" s="17" t="n">
        <v>46253</v>
      </c>
      <c r="F11" s="8" t="n">
        <v>3600</v>
      </c>
      <c r="G11" s="18" t="inlineStr">
        <is>
          <t>N</t>
        </is>
      </c>
      <c r="H11" s="19">
        <f>IF(A11="","",IF(UPPER(G11)="Y","",IF(E11="","",TODAY()-E11)))</f>
        <v/>
      </c>
      <c r="I11" s="7">
        <f>IF(A11="","",IF(UPPER(G11)="Y","Paid",IF(E11="","Date Needed",IF(H11&lt;=30,"Under 30 Days",IF(H11&lt;=60,"31–60 Days",IF(H11&lt;=90,"61–90 Days",IF(H11&lt;=120,"91–120 Days",IF(H11&lt;=150,"121–150 Days","151+ Days"))))))))</f>
        <v/>
      </c>
    </row>
    <row r="12">
      <c r="A12" s="7" t="inlineStr">
        <is>
          <t>Ellis Brenda</t>
        </is>
      </c>
      <c r="B12" s="7" t="inlineStr">
        <is>
          <t>File# 3693.00246</t>
        </is>
      </c>
      <c r="C12" s="7" t="inlineStr">
        <is>
          <t>Susan Miller</t>
        </is>
      </c>
      <c r="D12" s="7" t="inlineStr">
        <is>
          <t>RPG</t>
        </is>
      </c>
      <c r="E12" s="17" t="n">
        <v>46260</v>
      </c>
      <c r="F12" s="8" t="n">
        <v>2625</v>
      </c>
      <c r="G12" s="18" t="inlineStr">
        <is>
          <t>N</t>
        </is>
      </c>
      <c r="H12" s="19">
        <f>IF(A12="","",IF(UPPER(G12)="Y","",IF(E12="","",TODAY()-E12)))</f>
        <v/>
      </c>
      <c r="I12" s="7">
        <f>IF(A12="","",IF(UPPER(G12)="Y","Paid",IF(E12="","Date Needed",IF(H12&lt;=30,"Under 30 Days",IF(H12&lt;=60,"31–60 Days",IF(H12&lt;=90,"61–90 Days",IF(H12&lt;=120,"91–120 Days",IF(H12&lt;=150,"121–150 Days","151+ Days"))))))))</f>
        <v/>
      </c>
      <c r="K12" s="20" t="inlineStr">
        <is>
          <t>HOW TO USE</t>
        </is>
      </c>
    </row>
    <row r="13">
      <c r="A13" s="7" t="inlineStr">
        <is>
          <t>Fraser Beverly</t>
        </is>
      </c>
      <c r="B13" s="7" t="inlineStr">
        <is>
          <t>File# 46.12500</t>
        </is>
      </c>
      <c r="C13" s="7" t="inlineStr">
        <is>
          <t>Nick Albanese</t>
        </is>
      </c>
      <c r="D13" s="7" t="inlineStr">
        <is>
          <t>RPG</t>
        </is>
      </c>
      <c r="E13" s="17" t="n">
        <v>46264</v>
      </c>
      <c r="F13" s="8" t="n">
        <v>3600</v>
      </c>
      <c r="G13" s="18" t="inlineStr">
        <is>
          <t>N</t>
        </is>
      </c>
      <c r="H13" s="19">
        <f>IF(A13="","",IF(UPPER(G13)="Y","",IF(E13="","",TODAY()-E13)))</f>
        <v/>
      </c>
      <c r="I13" s="7">
        <f>IF(A13="","",IF(UPPER(G13)="Y","Paid",IF(E13="","Date Needed",IF(H13&lt;=30,"Under 30 Days",IF(H13&lt;=60,"31–60 Days",IF(H13&lt;=90,"61–90 Days",IF(H13&lt;=120,"91–120 Days",IF(H13&lt;=150,"121–150 Days","151+ Days"))))))))</f>
        <v/>
      </c>
      <c r="K13" t="inlineStr">
        <is>
          <t>Enter Y in Paid when the invoice is settled.</t>
        </is>
      </c>
    </row>
    <row r="14">
      <c r="A14" s="7" t="inlineStr">
        <is>
          <t>LeRose Sondra</t>
        </is>
      </c>
      <c r="B14" s="7" t="inlineStr">
        <is>
          <t>File# P6529.2428</t>
        </is>
      </c>
      <c r="C14" s="7" t="inlineStr">
        <is>
          <t>Nick Albanese</t>
        </is>
      </c>
      <c r="D14" s="7" t="inlineStr">
        <is>
          <t>RPG</t>
        </is>
      </c>
      <c r="E14" s="17" t="n">
        <v>46264</v>
      </c>
      <c r="F14" s="8" t="n">
        <v>3300</v>
      </c>
      <c r="G14" s="18" t="inlineStr">
        <is>
          <t>N</t>
        </is>
      </c>
      <c r="H14" s="19">
        <f>IF(A14="","",IF(UPPER(G14)="Y","",IF(E14="","",TODAY()-E14)))</f>
        <v/>
      </c>
      <c r="I14" s="7">
        <f>IF(A14="","",IF(UPPER(G14)="Y","Paid",IF(E14="","Date Needed",IF(H14&lt;=30,"Under 30 Days",IF(H14&lt;=60,"31–60 Days",IF(H14&lt;=90,"61–90 Days",IF(H14&lt;=120,"91–120 Days",IF(H14&lt;=150,"121–150 Days","151+ Days"))))))))</f>
        <v/>
      </c>
      <c r="K14" t="inlineStr">
        <is>
          <t>Formulas, aging, and totals update automatically.</t>
        </is>
      </c>
    </row>
    <row r="15">
      <c r="A15" s="7" t="inlineStr">
        <is>
          <t>Stamm #2</t>
        </is>
      </c>
      <c r="B15" s="7" t="inlineStr">
        <is>
          <t>File# 3693.00246</t>
        </is>
      </c>
      <c r="C15" s="7" t="inlineStr">
        <is>
          <t>Anna Borea</t>
        </is>
      </c>
      <c r="D15" s="7" t="inlineStr">
        <is>
          <t>Wilson Elser</t>
        </is>
      </c>
      <c r="E15" s="17" t="n">
        <v>46276</v>
      </c>
      <c r="F15" s="8" t="n">
        <v>1650</v>
      </c>
      <c r="G15" s="18" t="inlineStr">
        <is>
          <t>N</t>
        </is>
      </c>
      <c r="H15" s="19">
        <f>IF(A15="","",IF(UPPER(G15)="Y","",IF(E15="","",TODAY()-E15)))</f>
        <v/>
      </c>
      <c r="I15" s="7">
        <f>IF(A15="","",IF(UPPER(G15)="Y","Paid",IF(E15="","Date Needed",IF(H15&lt;=30,"Under 30 Days",IF(H15&lt;=60,"31–60 Days",IF(H15&lt;=90,"61–90 Days",IF(H15&lt;=120,"91–120 Days",IF(H15&lt;=150,"121–150 Days","151+ Days"))))))))</f>
        <v/>
      </c>
    </row>
    <row r="16">
      <c r="A16" s="7" t="inlineStr">
        <is>
          <t>Bambach Trial Prep</t>
        </is>
      </c>
      <c r="B16" s="7" t="inlineStr">
        <is>
          <t>File: PB-1044</t>
        </is>
      </c>
      <c r="C16" s="7" t="inlineStr">
        <is>
          <t>Christian Fumoso</t>
        </is>
      </c>
      <c r="D16" s="7" t="inlineStr">
        <is>
          <t>Fumoso Christesen</t>
        </is>
      </c>
      <c r="E16" s="17" t="n">
        <v>46281</v>
      </c>
      <c r="F16" s="8" t="n">
        <v>1100</v>
      </c>
      <c r="G16" s="18" t="inlineStr">
        <is>
          <t>N</t>
        </is>
      </c>
      <c r="H16" s="19">
        <f>IF(A16="","",IF(UPPER(G16)="Y","",IF(E16="","",TODAY()-E16)))</f>
        <v/>
      </c>
      <c r="I16" s="7">
        <f>IF(A16="","",IF(UPPER(G16)="Y","Paid",IF(E16="","Date Needed",IF(H16&lt;=30,"Under 30 Days",IF(H16&lt;=60,"31–60 Days",IF(H16&lt;=90,"61–90 Days",IF(H16&lt;=120,"91–120 Days",IF(H16&lt;=150,"121–150 Days","151+ Days"))))))))</f>
        <v/>
      </c>
      <c r="K16" s="20" t="inlineStr">
        <is>
          <t>Total Outstanding</t>
        </is>
      </c>
      <c r="M16" s="21">
        <f>$A$6</f>
        <v/>
      </c>
    </row>
    <row r="17">
      <c r="A17" s="7" t="inlineStr">
        <is>
          <t>Wakefield Angela</t>
        </is>
      </c>
      <c r="B17" s="7" t="inlineStr">
        <is>
          <t>File# 14583.00120</t>
        </is>
      </c>
      <c r="C17" s="7" t="inlineStr">
        <is>
          <t>Susan Formosa</t>
        </is>
      </c>
      <c r="D17" s="7" t="inlineStr">
        <is>
          <t>Wilson Elser</t>
        </is>
      </c>
      <c r="E17" s="17" t="n">
        <v>46290</v>
      </c>
      <c r="F17" s="8" t="n">
        <v>5775</v>
      </c>
      <c r="G17" s="18" t="inlineStr">
        <is>
          <t>N</t>
        </is>
      </c>
      <c r="H17" s="19">
        <f>IF(A17="","",IF(UPPER(G17)="Y","",IF(E17="","",TODAY()-E17)))</f>
        <v/>
      </c>
      <c r="I17" s="7">
        <f>IF(A17="","",IF(UPPER(G17)="Y","Paid",IF(E17="","Date Needed",IF(H17&lt;=30,"Under 30 Days",IF(H17&lt;=60,"31–60 Days",IF(H17&lt;=90,"61–90 Days",IF(H17&lt;=120,"91–120 Days",IF(H17&lt;=150,"121–150 Days","151+ Days"))))))))</f>
        <v/>
      </c>
    </row>
    <row r="18">
      <c r="A18" s="7" t="inlineStr">
        <is>
          <t>Biesty Kevin</t>
        </is>
      </c>
      <c r="B18" s="7" t="inlineStr">
        <is>
          <t>File: 21975-00108</t>
        </is>
      </c>
      <c r="C18" s="7" t="inlineStr">
        <is>
          <t>Jillian Oliff</t>
        </is>
      </c>
      <c r="D18" s="7" t="inlineStr">
        <is>
          <t>Wilson Elser</t>
        </is>
      </c>
      <c r="E18" s="17" t="n">
        <v>46294</v>
      </c>
      <c r="F18" s="8" t="n">
        <v>4500</v>
      </c>
      <c r="G18" s="18" t="inlineStr">
        <is>
          <t>N</t>
        </is>
      </c>
      <c r="H18" s="19">
        <f>IF(A18="","",IF(UPPER(G18)="Y","",IF(E18="","",TODAY()-E18)))</f>
        <v/>
      </c>
      <c r="I18" s="7">
        <f>IF(A18="","",IF(UPPER(G18)="Y","Paid",IF(E18="","Date Needed",IF(H18&lt;=30,"Under 30 Days",IF(H18&lt;=60,"31–60 Days",IF(H18&lt;=90,"61–90 Days",IF(H18&lt;=120,"91–120 Days",IF(H18&lt;=150,"121–150 Days","151+ Days"))))))))</f>
        <v/>
      </c>
      <c r="K18" s="20" t="inlineStr">
        <is>
          <t>Average Invoice</t>
        </is>
      </c>
      <c r="M18" s="21">
        <f>$E$6</f>
        <v/>
      </c>
    </row>
    <row r="19">
      <c r="A19" s="7" t="inlineStr">
        <is>
          <t>Pettway</t>
        </is>
      </c>
      <c r="B19" s="7" t="inlineStr">
        <is>
          <t>BPN File No: 0102-087</t>
        </is>
      </c>
      <c r="C19" s="7" t="inlineStr">
        <is>
          <t>Brian DiPentima</t>
        </is>
      </c>
      <c r="D19" s="7" t="inlineStr">
        <is>
          <t>BPN LLP</t>
        </is>
      </c>
      <c r="E19" s="17" t="n">
        <v>46295</v>
      </c>
      <c r="F19" s="8" t="n">
        <v>5100</v>
      </c>
      <c r="G19" s="18" t="inlineStr">
        <is>
          <t>N</t>
        </is>
      </c>
      <c r="H19" s="19">
        <f>IF(A19="","",IF(UPPER(G19)="Y","",IF(E19="","",TODAY()-E19)))</f>
        <v/>
      </c>
      <c r="I19" s="7">
        <f>IF(A19="","",IF(UPPER(G19)="Y","Paid",IF(E19="","Date Needed",IF(H19&lt;=30,"Under 30 Days",IF(H19&lt;=60,"31–60 Days",IF(H19&lt;=90,"61–90 Days",IF(H19&lt;=120,"91–120 Days",IF(H19&lt;=150,"121–150 Days","151+ Days"))))))))</f>
        <v/>
      </c>
      <c r="K19" s="20" t="inlineStr">
        <is>
          <t>Average Days Open</t>
        </is>
      </c>
      <c r="M19" s="22">
        <f>$G$6</f>
        <v/>
      </c>
    </row>
    <row r="20">
      <c r="A20" s="7" t="inlineStr">
        <is>
          <t>Power Patricia</t>
        </is>
      </c>
      <c r="B20" s="7" t="inlineStr">
        <is>
          <t>File: 33-225</t>
        </is>
      </c>
      <c r="C20" s="7" t="inlineStr">
        <is>
          <t>Eric Doman</t>
        </is>
      </c>
      <c r="D20" s="7" t="inlineStr">
        <is>
          <t>Wagner, Doman, Leto &amp; DiLeo P.C.</t>
        </is>
      </c>
      <c r="E20" s="17" t="n">
        <v>46301</v>
      </c>
      <c r="F20" s="8" t="n">
        <v>1500</v>
      </c>
      <c r="G20" s="18" t="inlineStr">
        <is>
          <t>N</t>
        </is>
      </c>
      <c r="H20" s="19">
        <f>IF(A20="","",IF(UPPER(G20)="Y","",IF(E20="","",TODAY()-E20)))</f>
        <v/>
      </c>
      <c r="I20" s="7">
        <f>IF(A20="","",IF(UPPER(G20)="Y","Paid",IF(E20="","Date Needed",IF(H20&lt;=30,"Under 30 Days",IF(H20&lt;=60,"31–60 Days",IF(H20&lt;=90,"61–90 Days",IF(H20&lt;=120,"91–120 Days",IF(H20&lt;=150,"121–150 Days","151+ Days"))))))))</f>
        <v/>
      </c>
    </row>
    <row r="21">
      <c r="A21" s="7" t="n"/>
      <c r="B21" s="7" t="n"/>
      <c r="C21" s="7" t="n"/>
      <c r="D21" s="7" t="n"/>
      <c r="E21" s="17" t="n"/>
      <c r="F21" s="8" t="n"/>
      <c r="G21" s="18" t="n"/>
      <c r="H21" s="19">
        <f>IF(A21="","",IF(UPPER(G21)="Y","",IF(E21="","",TODAY()-E21)))</f>
        <v/>
      </c>
      <c r="I21" s="7">
        <f>IF(A21="","",IF(UPPER(G21)="Y","Paid",IF(E21="","Date Needed",IF(H21&lt;=30,"Under 30 Days",IF(H21&lt;=60,"31–60 Days",IF(H21&lt;=90,"61–90 Days",IF(H21&lt;=120,"91–120 Days",IF(H21&lt;=150,"121–150 Days","151+ Days"))))))))</f>
        <v/>
      </c>
    </row>
    <row r="22">
      <c r="A22" s="7" t="n"/>
      <c r="B22" s="7" t="n"/>
      <c r="C22" s="7" t="n"/>
      <c r="D22" s="7" t="n"/>
      <c r="E22" s="17" t="n"/>
      <c r="F22" s="8" t="n"/>
      <c r="G22" s="18" t="n"/>
      <c r="H22" s="19">
        <f>IF(A22="","",IF(UPPER(G22)="Y","",IF(E22="","",TODAY()-E22)))</f>
        <v/>
      </c>
      <c r="I22" s="7">
        <f>IF(A22="","",IF(UPPER(G22)="Y","Paid",IF(E22="","Date Needed",IF(H22&lt;=30,"Under 30 Days",IF(H22&lt;=60,"31–60 Days",IF(H22&lt;=90,"61–90 Days",IF(H22&lt;=120,"91–120 Days",IF(H22&lt;=150,"121–150 Days","151+ Days"))))))))</f>
        <v/>
      </c>
    </row>
    <row r="23">
      <c r="A23" s="7" t="n"/>
      <c r="B23" s="7" t="n"/>
      <c r="C23" s="7" t="n"/>
      <c r="D23" s="7" t="n"/>
      <c r="E23" s="17" t="n"/>
      <c r="F23" s="8" t="n"/>
      <c r="G23" s="18" t="n"/>
      <c r="H23" s="19">
        <f>IF(A23="","",IF(UPPER(G23)="Y","",IF(E23="","",TODAY()-E23)))</f>
        <v/>
      </c>
      <c r="I23" s="7">
        <f>IF(A23="","",IF(UPPER(G23)="Y","Paid",IF(E23="","Date Needed",IF(H23&lt;=30,"Under 30 Days",IF(H23&lt;=60,"31–60 Days",IF(H23&lt;=90,"61–90 Days",IF(H23&lt;=120,"91–120 Days",IF(H23&lt;=150,"121–150 Days","151+ Days"))))))))</f>
        <v/>
      </c>
    </row>
    <row r="24">
      <c r="A24" s="7" t="n"/>
      <c r="B24" s="7" t="n"/>
      <c r="C24" s="7" t="n"/>
      <c r="D24" s="7" t="n"/>
      <c r="E24" s="17" t="n"/>
      <c r="F24" s="8" t="n"/>
      <c r="G24" s="18" t="n"/>
      <c r="H24" s="19">
        <f>IF(A24="","",IF(UPPER(G24)="Y","",IF(E24="","",TODAY()-E24)))</f>
        <v/>
      </c>
      <c r="I24" s="7">
        <f>IF(A24="","",IF(UPPER(G24)="Y","Paid",IF(E24="","Date Needed",IF(H24&lt;=30,"Under 30 Days",IF(H24&lt;=60,"31–60 Days",IF(H24&lt;=90,"61–90 Days",IF(H24&lt;=120,"91–120 Days",IF(H24&lt;=150,"121–150 Days","151+ Days"))))))))</f>
        <v/>
      </c>
    </row>
    <row r="25">
      <c r="A25" s="7" t="n"/>
      <c r="B25" s="7" t="n"/>
      <c r="C25" s="7" t="n"/>
      <c r="D25" s="7" t="n"/>
      <c r="E25" s="17" t="n"/>
      <c r="F25" s="8" t="n"/>
      <c r="G25" s="18" t="n"/>
      <c r="H25" s="19">
        <f>IF(A25="","",IF(UPPER(G25)="Y","",IF(E25="","",TODAY()-E25)))</f>
        <v/>
      </c>
      <c r="I25" s="7">
        <f>IF(A25="","",IF(UPPER(G25)="Y","Paid",IF(E25="","Date Needed",IF(H25&lt;=30,"Under 30 Days",IF(H25&lt;=60,"31–60 Days",IF(H25&lt;=90,"61–90 Days",IF(H25&lt;=120,"91–120 Days",IF(H25&lt;=150,"121–150 Days","151+ Days"))))))))</f>
        <v/>
      </c>
    </row>
    <row r="26">
      <c r="A26" s="7" t="n"/>
      <c r="B26" s="7" t="n"/>
      <c r="C26" s="7" t="n"/>
      <c r="D26" s="7" t="n"/>
      <c r="E26" s="17" t="n"/>
      <c r="F26" s="8" t="n"/>
      <c r="G26" s="18" t="n"/>
      <c r="H26" s="19">
        <f>IF(A26="","",IF(UPPER(G26)="Y","",IF(E26="","",TODAY()-E26)))</f>
        <v/>
      </c>
      <c r="I26" s="7">
        <f>IF(A26="","",IF(UPPER(G26)="Y","Paid",IF(E26="","Date Needed",IF(H26&lt;=30,"Under 30 Days",IF(H26&lt;=60,"31–60 Days",IF(H26&lt;=90,"61–90 Days",IF(H26&lt;=120,"91–120 Days",IF(H26&lt;=150,"121–150 Days","151+ Days"))))))))</f>
        <v/>
      </c>
    </row>
    <row r="27">
      <c r="A27" s="7" t="n"/>
      <c r="B27" s="7" t="n"/>
      <c r="C27" s="7" t="n"/>
      <c r="D27" s="7" t="n"/>
      <c r="E27" s="17" t="n"/>
      <c r="F27" s="8" t="n"/>
      <c r="G27" s="18" t="n"/>
      <c r="H27" s="19">
        <f>IF(A27="","",IF(UPPER(G27)="Y","",IF(E27="","",TODAY()-E27)))</f>
        <v/>
      </c>
      <c r="I27" s="7">
        <f>IF(A27="","",IF(UPPER(G27)="Y","Paid",IF(E27="","Date Needed",IF(H27&lt;=30,"Under 30 Days",IF(H27&lt;=60,"31–60 Days",IF(H27&lt;=90,"61–90 Days",IF(H27&lt;=120,"91–120 Days",IF(H27&lt;=150,"121–150 Days","151+ Days"))))))))</f>
        <v/>
      </c>
    </row>
    <row r="28">
      <c r="A28" s="7" t="n"/>
      <c r="B28" s="7" t="n"/>
      <c r="C28" s="7" t="n"/>
      <c r="D28" s="7" t="n"/>
      <c r="E28" s="17" t="n"/>
      <c r="F28" s="8" t="n"/>
      <c r="G28" s="18" t="n"/>
      <c r="H28" s="19">
        <f>IF(A28="","",IF(UPPER(G28)="Y","",IF(E28="","",TODAY()-E28)))</f>
        <v/>
      </c>
      <c r="I28" s="7">
        <f>IF(A28="","",IF(UPPER(G28)="Y","Paid",IF(E28="","Date Needed",IF(H28&lt;=30,"Under 30 Days",IF(H28&lt;=60,"31–60 Days",IF(H28&lt;=90,"61–90 Days",IF(H28&lt;=120,"91–120 Days",IF(H28&lt;=150,"121–150 Days","151+ Days"))))))))</f>
        <v/>
      </c>
    </row>
    <row r="29">
      <c r="A29" s="7" t="n"/>
      <c r="B29" s="7" t="n"/>
      <c r="C29" s="7" t="n"/>
      <c r="D29" s="7" t="n"/>
      <c r="E29" s="17" t="n"/>
      <c r="F29" s="8" t="n"/>
      <c r="G29" s="18" t="n"/>
      <c r="H29" s="19">
        <f>IF(A29="","",IF(UPPER(G29)="Y","",IF(E29="","",TODAY()-E29)))</f>
        <v/>
      </c>
      <c r="I29" s="7">
        <f>IF(A29="","",IF(UPPER(G29)="Y","Paid",IF(E29="","Date Needed",IF(H29&lt;=30,"Under 30 Days",IF(H29&lt;=60,"31–60 Days",IF(H29&lt;=90,"61–90 Days",IF(H29&lt;=120,"91–120 Days",IF(H29&lt;=150,"121–150 Days","151+ Days"))))))))</f>
        <v/>
      </c>
    </row>
    <row r="30">
      <c r="A30" s="7" t="n"/>
      <c r="B30" s="7" t="n"/>
      <c r="C30" s="7" t="n"/>
      <c r="D30" s="7" t="n"/>
      <c r="E30" s="17" t="n"/>
      <c r="F30" s="8" t="n"/>
      <c r="G30" s="18" t="n"/>
      <c r="H30" s="19">
        <f>IF(A30="","",IF(UPPER(G30)="Y","",IF(E30="","",TODAY()-E30)))</f>
        <v/>
      </c>
      <c r="I30" s="7">
        <f>IF(A30="","",IF(UPPER(G30)="Y","Paid",IF(E30="","Date Needed",IF(H30&lt;=30,"Under 30 Days",IF(H30&lt;=60,"31–60 Days",IF(H30&lt;=90,"61–90 Days",IF(H30&lt;=120,"91–120 Days",IF(H30&lt;=150,"121–150 Days","151+ Days"))))))))</f>
        <v/>
      </c>
    </row>
    <row r="31">
      <c r="A31" s="7" t="n"/>
      <c r="B31" s="7" t="n"/>
      <c r="C31" s="7" t="n"/>
      <c r="D31" s="7" t="n"/>
      <c r="E31" s="17" t="n"/>
      <c r="F31" s="8" t="n"/>
      <c r="G31" s="18" t="n"/>
      <c r="H31" s="19">
        <f>IF(A31="","",IF(UPPER(G31)="Y","",IF(E31="","",TODAY()-E31)))</f>
        <v/>
      </c>
      <c r="I31" s="7">
        <f>IF(A31="","",IF(UPPER(G31)="Y","Paid",IF(E31="","Date Needed",IF(H31&lt;=30,"Under 30 Days",IF(H31&lt;=60,"31–60 Days",IF(H31&lt;=90,"61–90 Days",IF(H31&lt;=120,"91–120 Days",IF(H31&lt;=150,"121–150 Days","151+ Days"))))))))</f>
        <v/>
      </c>
    </row>
    <row r="32">
      <c r="A32" s="7" t="n"/>
      <c r="B32" s="7" t="n"/>
      <c r="C32" s="7" t="n"/>
      <c r="D32" s="7" t="n"/>
      <c r="E32" s="17" t="n"/>
      <c r="F32" s="8" t="n"/>
      <c r="G32" s="18" t="n"/>
      <c r="H32" s="19">
        <f>IF(A32="","",IF(UPPER(G32)="Y","",IF(E32="","",TODAY()-E32)))</f>
        <v/>
      </c>
      <c r="I32" s="7">
        <f>IF(A32="","",IF(UPPER(G32)="Y","Paid",IF(E32="","Date Needed",IF(H32&lt;=30,"Under 30 Days",IF(H32&lt;=60,"31–60 Days",IF(H32&lt;=90,"61–90 Days",IF(H32&lt;=120,"91–120 Days",IF(H32&lt;=150,"121–150 Days","151+ Days"))))))))</f>
        <v/>
      </c>
    </row>
    <row r="33">
      <c r="A33" s="7" t="n"/>
      <c r="B33" s="7" t="n"/>
      <c r="C33" s="7" t="n"/>
      <c r="D33" s="7" t="n"/>
      <c r="E33" s="17" t="n"/>
      <c r="F33" s="8" t="n"/>
      <c r="G33" s="18" t="n"/>
      <c r="H33" s="19">
        <f>IF(A33="","",IF(UPPER(G33)="Y","",IF(E33="","",TODAY()-E33)))</f>
        <v/>
      </c>
      <c r="I33" s="7">
        <f>IF(A33="","",IF(UPPER(G33)="Y","Paid",IF(E33="","Date Needed",IF(H33&lt;=30,"Under 30 Days",IF(H33&lt;=60,"31–60 Days",IF(H33&lt;=90,"61–90 Days",IF(H33&lt;=120,"91–120 Days",IF(H33&lt;=150,"121–150 Days","151+ Days"))))))))</f>
        <v/>
      </c>
    </row>
    <row r="34">
      <c r="A34" s="7" t="n"/>
      <c r="B34" s="7" t="n"/>
      <c r="C34" s="7" t="n"/>
      <c r="D34" s="7" t="n"/>
      <c r="E34" s="17" t="n"/>
      <c r="F34" s="8" t="n"/>
      <c r="G34" s="18" t="n"/>
      <c r="H34" s="19">
        <f>IF(A34="","",IF(UPPER(G34)="Y","",IF(E34="","",TODAY()-E34)))</f>
        <v/>
      </c>
      <c r="I34" s="7">
        <f>IF(A34="","",IF(UPPER(G34)="Y","Paid",IF(E34="","Date Needed",IF(H34&lt;=30,"Under 30 Days",IF(H34&lt;=60,"31–60 Days",IF(H34&lt;=90,"61–90 Days",IF(H34&lt;=120,"91–120 Days",IF(H34&lt;=150,"121–150 Days","151+ Days"))))))))</f>
        <v/>
      </c>
    </row>
    <row r="35">
      <c r="A35" s="7" t="n"/>
      <c r="B35" s="7" t="n"/>
      <c r="C35" s="7" t="n"/>
      <c r="D35" s="7" t="n"/>
      <c r="E35" s="17" t="n"/>
      <c r="F35" s="8" t="n"/>
      <c r="G35" s="18" t="n"/>
      <c r="H35" s="19">
        <f>IF(A35="","",IF(UPPER(G35)="Y","",IF(E35="","",TODAY()-E35)))</f>
        <v/>
      </c>
      <c r="I35" s="7">
        <f>IF(A35="","",IF(UPPER(G35)="Y","Paid",IF(E35="","Date Needed",IF(H35&lt;=30,"Under 30 Days",IF(H35&lt;=60,"31–60 Days",IF(H35&lt;=90,"61–90 Days",IF(H35&lt;=120,"91–120 Days",IF(H35&lt;=150,"121–150 Days","151+ Days"))))))))</f>
        <v/>
      </c>
    </row>
    <row r="36">
      <c r="A36" s="7" t="n"/>
      <c r="B36" s="7" t="n"/>
      <c r="C36" s="7" t="n"/>
      <c r="D36" s="7" t="n"/>
      <c r="E36" s="17" t="n"/>
      <c r="F36" s="8" t="n"/>
      <c r="G36" s="18" t="n"/>
      <c r="H36" s="19">
        <f>IF(A36="","",IF(UPPER(G36)="Y","",IF(E36="","",TODAY()-E36)))</f>
        <v/>
      </c>
      <c r="I36" s="7">
        <f>IF(A36="","",IF(UPPER(G36)="Y","Paid",IF(E36="","Date Needed",IF(H36&lt;=30,"Under 30 Days",IF(H36&lt;=60,"31–60 Days",IF(H36&lt;=90,"61–90 Days",IF(H36&lt;=120,"91–120 Days",IF(H36&lt;=150,"121–150 Days","151+ Days"))))))))</f>
        <v/>
      </c>
    </row>
    <row r="37">
      <c r="A37" s="7" t="n"/>
      <c r="B37" s="7" t="n"/>
      <c r="C37" s="7" t="n"/>
      <c r="D37" s="7" t="n"/>
      <c r="E37" s="17" t="n"/>
      <c r="F37" s="8" t="n"/>
      <c r="G37" s="18" t="n"/>
      <c r="H37" s="19">
        <f>IF(A37="","",IF(UPPER(G37)="Y","",IF(E37="","",TODAY()-E37)))</f>
        <v/>
      </c>
      <c r="I37" s="7">
        <f>IF(A37="","",IF(UPPER(G37)="Y","Paid",IF(E37="","Date Needed",IF(H37&lt;=30,"Under 30 Days",IF(H37&lt;=60,"31–60 Days",IF(H37&lt;=90,"61–90 Days",IF(H37&lt;=120,"91–120 Days",IF(H37&lt;=150,"121–150 Days","151+ Days"))))))))</f>
        <v/>
      </c>
    </row>
    <row r="38">
      <c r="A38" s="7" t="n"/>
      <c r="B38" s="7" t="n"/>
      <c r="C38" s="7" t="n"/>
      <c r="D38" s="7" t="n"/>
      <c r="E38" s="17" t="n"/>
      <c r="F38" s="8" t="n"/>
      <c r="G38" s="18" t="n"/>
      <c r="H38" s="19">
        <f>IF(A38="","",IF(UPPER(G38)="Y","",IF(E38="","",TODAY()-E38)))</f>
        <v/>
      </c>
      <c r="I38" s="7">
        <f>IF(A38="","",IF(UPPER(G38)="Y","Paid",IF(E38="","Date Needed",IF(H38&lt;=30,"Under 30 Days",IF(H38&lt;=60,"31–60 Days",IF(H38&lt;=90,"61–90 Days",IF(H38&lt;=120,"91–120 Days",IF(H38&lt;=150,"121–150 Days","151+ Days"))))))))</f>
        <v/>
      </c>
    </row>
    <row r="39">
      <c r="A39" s="7" t="n"/>
      <c r="B39" s="7" t="n"/>
      <c r="C39" s="7" t="n"/>
      <c r="D39" s="7" t="n"/>
      <c r="E39" s="17" t="n"/>
      <c r="F39" s="8" t="n"/>
      <c r="G39" s="18" t="n"/>
      <c r="H39" s="19">
        <f>IF(A39="","",IF(UPPER(G39)="Y","",IF(E39="","",TODAY()-E39)))</f>
        <v/>
      </c>
      <c r="I39" s="7">
        <f>IF(A39="","",IF(UPPER(G39)="Y","Paid",IF(E39="","Date Needed",IF(H39&lt;=30,"Under 30 Days",IF(H39&lt;=60,"31–60 Days",IF(H39&lt;=90,"61–90 Days",IF(H39&lt;=120,"91–120 Days",IF(H39&lt;=150,"121–150 Days","151+ Days"))))))))</f>
        <v/>
      </c>
    </row>
    <row r="40">
      <c r="A40" s="7" t="n"/>
      <c r="B40" s="7" t="n"/>
      <c r="C40" s="7" t="n"/>
      <c r="D40" s="7" t="n"/>
      <c r="E40" s="17" t="n"/>
      <c r="F40" s="8" t="n"/>
      <c r="G40" s="18" t="n"/>
      <c r="H40" s="19">
        <f>IF(A40="","",IF(UPPER(G40)="Y","",IF(E40="","",TODAY()-E40)))</f>
        <v/>
      </c>
      <c r="I40" s="7">
        <f>IF(A40="","",IF(UPPER(G40)="Y","Paid",IF(E40="","Date Needed",IF(H40&lt;=30,"Under 30 Days",IF(H40&lt;=60,"31–60 Days",IF(H40&lt;=90,"61–90 Days",IF(H40&lt;=120,"91–120 Days",IF(H40&lt;=150,"121–150 Days","151+ Days"))))))))</f>
        <v/>
      </c>
    </row>
    <row r="41">
      <c r="A41" s="7" t="n"/>
      <c r="B41" s="7" t="n"/>
      <c r="C41" s="7" t="n"/>
      <c r="D41" s="7" t="n"/>
      <c r="E41" s="17" t="n"/>
      <c r="F41" s="8" t="n"/>
      <c r="G41" s="18" t="n"/>
      <c r="H41" s="19">
        <f>IF(A41="","",IF(UPPER(G41)="Y","",IF(E41="","",TODAY()-E41)))</f>
        <v/>
      </c>
      <c r="I41" s="7">
        <f>IF(A41="","",IF(UPPER(G41)="Y","Paid",IF(E41="","Date Needed",IF(H41&lt;=30,"Under 30 Days",IF(H41&lt;=60,"31–60 Days",IF(H41&lt;=90,"61–90 Days",IF(H41&lt;=120,"91–120 Days",IF(H41&lt;=150,"121–150 Days","151+ Days"))))))))</f>
        <v/>
      </c>
    </row>
    <row r="42">
      <c r="A42" s="7" t="n"/>
      <c r="B42" s="7" t="n"/>
      <c r="C42" s="7" t="n"/>
      <c r="D42" s="7" t="n"/>
      <c r="E42" s="17" t="n"/>
      <c r="F42" s="8" t="n"/>
      <c r="G42" s="18" t="n"/>
      <c r="H42" s="19">
        <f>IF(A42="","",IF(UPPER(G42)="Y","",IF(E42="","",TODAY()-E42)))</f>
        <v/>
      </c>
      <c r="I42" s="7">
        <f>IF(A42="","",IF(UPPER(G42)="Y","Paid",IF(E42="","Date Needed",IF(H42&lt;=30,"Under 30 Days",IF(H42&lt;=60,"31–60 Days",IF(H42&lt;=90,"61–90 Days",IF(H42&lt;=120,"91–120 Days",IF(H42&lt;=150,"121–150 Days","151+ Days"))))))))</f>
        <v/>
      </c>
    </row>
    <row r="43">
      <c r="A43" s="7" t="n"/>
      <c r="B43" s="7" t="n"/>
      <c r="C43" s="7" t="n"/>
      <c r="D43" s="7" t="n"/>
      <c r="E43" s="17" t="n"/>
      <c r="F43" s="8" t="n"/>
      <c r="G43" s="18" t="n"/>
      <c r="H43" s="19">
        <f>IF(A43="","",IF(UPPER(G43)="Y","",IF(E43="","",TODAY()-E43)))</f>
        <v/>
      </c>
      <c r="I43" s="7">
        <f>IF(A43="","",IF(UPPER(G43)="Y","Paid",IF(E43="","Date Needed",IF(H43&lt;=30,"Under 30 Days",IF(H43&lt;=60,"31–60 Days",IF(H43&lt;=90,"61–90 Days",IF(H43&lt;=120,"91–120 Days",IF(H43&lt;=150,"121–150 Days","151+ Days"))))))))</f>
        <v/>
      </c>
    </row>
    <row r="44">
      <c r="A44" s="7" t="n"/>
      <c r="B44" s="7" t="n"/>
      <c r="C44" s="7" t="n"/>
      <c r="D44" s="7" t="n"/>
      <c r="E44" s="17" t="n"/>
      <c r="F44" s="8" t="n"/>
      <c r="G44" s="18" t="n"/>
      <c r="H44" s="19">
        <f>IF(A44="","",IF(UPPER(G44)="Y","",IF(E44="","",TODAY()-E44)))</f>
        <v/>
      </c>
      <c r="I44" s="7">
        <f>IF(A44="","",IF(UPPER(G44)="Y","Paid",IF(E44="","Date Needed",IF(H44&lt;=30,"Under 30 Days",IF(H44&lt;=60,"31–60 Days",IF(H44&lt;=90,"61–90 Days",IF(H44&lt;=120,"91–120 Days",IF(H44&lt;=150,"121–150 Days","151+ Days"))))))))</f>
        <v/>
      </c>
    </row>
    <row r="45">
      <c r="A45" s="7" t="n"/>
      <c r="B45" s="7" t="n"/>
      <c r="C45" s="7" t="n"/>
      <c r="D45" s="7" t="n"/>
      <c r="E45" s="17" t="n"/>
      <c r="F45" s="8" t="n"/>
      <c r="G45" s="18" t="n"/>
      <c r="H45" s="19">
        <f>IF(A45="","",IF(UPPER(G45)="Y","",IF(E45="","",TODAY()-E45)))</f>
        <v/>
      </c>
      <c r="I45" s="7">
        <f>IF(A45="","",IF(UPPER(G45)="Y","Paid",IF(E45="","Date Needed",IF(H45&lt;=30,"Under 30 Days",IF(H45&lt;=60,"31–60 Days",IF(H45&lt;=90,"61–90 Days",IF(H45&lt;=120,"91–120 Days",IF(H45&lt;=150,"121–150 Days","151+ Days"))))))))</f>
        <v/>
      </c>
    </row>
    <row r="46">
      <c r="A46" s="7" t="n"/>
      <c r="B46" s="7" t="n"/>
      <c r="C46" s="7" t="n"/>
      <c r="D46" s="7" t="n"/>
      <c r="E46" s="17" t="n"/>
      <c r="F46" s="8" t="n"/>
      <c r="G46" s="18" t="n"/>
      <c r="H46" s="19">
        <f>IF(A46="","",IF(UPPER(G46)="Y","",IF(E46="","",TODAY()-E46)))</f>
        <v/>
      </c>
      <c r="I46" s="7">
        <f>IF(A46="","",IF(UPPER(G46)="Y","Paid",IF(E46="","Date Needed",IF(H46&lt;=30,"Under 30 Days",IF(H46&lt;=60,"31–60 Days",IF(H46&lt;=90,"61–90 Days",IF(H46&lt;=120,"91–120 Days",IF(H46&lt;=150,"121–150 Days","151+ Days"))))))))</f>
        <v/>
      </c>
    </row>
    <row r="47">
      <c r="A47" s="7" t="n"/>
      <c r="B47" s="7" t="n"/>
      <c r="C47" s="7" t="n"/>
      <c r="D47" s="7" t="n"/>
      <c r="E47" s="17" t="n"/>
      <c r="F47" s="8" t="n"/>
      <c r="G47" s="18" t="n"/>
      <c r="H47" s="19">
        <f>IF(A47="","",IF(UPPER(G47)="Y","",IF(E47="","",TODAY()-E47)))</f>
        <v/>
      </c>
      <c r="I47" s="7">
        <f>IF(A47="","",IF(UPPER(G47)="Y","Paid",IF(E47="","Date Needed",IF(H47&lt;=30,"Under 30 Days",IF(H47&lt;=60,"31–60 Days",IF(H47&lt;=90,"61–90 Days",IF(H47&lt;=120,"91–120 Days",IF(H47&lt;=150,"121–150 Days","151+ Days"))))))))</f>
        <v/>
      </c>
    </row>
    <row r="48">
      <c r="A48" s="7" t="n"/>
      <c r="B48" s="7" t="n"/>
      <c r="C48" s="7" t="n"/>
      <c r="D48" s="7" t="n"/>
      <c r="E48" s="17" t="n"/>
      <c r="F48" s="8" t="n"/>
      <c r="G48" s="18" t="n"/>
      <c r="H48" s="19">
        <f>IF(A48="","",IF(UPPER(G48)="Y","",IF(E48="","",TODAY()-E48)))</f>
        <v/>
      </c>
      <c r="I48" s="7">
        <f>IF(A48="","",IF(UPPER(G48)="Y","Paid",IF(E48="","Date Needed",IF(H48&lt;=30,"Under 30 Days",IF(H48&lt;=60,"31–60 Days",IF(H48&lt;=90,"61–90 Days",IF(H48&lt;=120,"91–120 Days",IF(H48&lt;=150,"121–150 Days","151+ Days"))))))))</f>
        <v/>
      </c>
    </row>
    <row r="49">
      <c r="A49" s="7" t="n"/>
      <c r="B49" s="7" t="n"/>
      <c r="C49" s="7" t="n"/>
      <c r="D49" s="7" t="n"/>
      <c r="E49" s="17" t="n"/>
      <c r="F49" s="8" t="n"/>
      <c r="G49" s="18" t="n"/>
      <c r="H49" s="19">
        <f>IF(A49="","",IF(UPPER(G49)="Y","",IF(E49="","",TODAY()-E49)))</f>
        <v/>
      </c>
      <c r="I49" s="7">
        <f>IF(A49="","",IF(UPPER(G49)="Y","Paid",IF(E49="","Date Needed",IF(H49&lt;=30,"Under 30 Days",IF(H49&lt;=60,"31–60 Days",IF(H49&lt;=90,"61–90 Days",IF(H49&lt;=120,"91–120 Days",IF(H49&lt;=150,"121–150 Days","151+ Days"))))))))</f>
        <v/>
      </c>
    </row>
    <row r="50">
      <c r="A50" s="7" t="n"/>
      <c r="B50" s="7" t="n"/>
      <c r="C50" s="7" t="n"/>
      <c r="D50" s="7" t="n"/>
      <c r="E50" s="17" t="n"/>
      <c r="F50" s="8" t="n"/>
      <c r="G50" s="18" t="n"/>
      <c r="H50" s="19">
        <f>IF(A50="","",IF(UPPER(G50)="Y","",IF(E50="","",TODAY()-E50)))</f>
        <v/>
      </c>
      <c r="I50" s="7">
        <f>IF(A50="","",IF(UPPER(G50)="Y","Paid",IF(E50="","Date Needed",IF(H50&lt;=30,"Under 30 Days",IF(H50&lt;=60,"31–60 Days",IF(H50&lt;=90,"61–90 Days",IF(H50&lt;=120,"91–120 Days",IF(H50&lt;=150,"121–150 Days","151+ Days"))))))))</f>
        <v/>
      </c>
    </row>
    <row r="51">
      <c r="A51" s="7" t="n"/>
      <c r="B51" s="7" t="n"/>
      <c r="C51" s="7" t="n"/>
      <c r="D51" s="7" t="n"/>
      <c r="E51" s="17" t="n"/>
      <c r="F51" s="8" t="n"/>
      <c r="G51" s="18" t="n"/>
      <c r="H51" s="19">
        <f>IF(A51="","",IF(UPPER(G51)="Y","",IF(E51="","",TODAY()-E51)))</f>
        <v/>
      </c>
      <c r="I51" s="7">
        <f>IF(A51="","",IF(UPPER(G51)="Y","Paid",IF(E51="","Date Needed",IF(H51&lt;=30,"Under 30 Days",IF(H51&lt;=60,"31–60 Days",IF(H51&lt;=90,"61–90 Days",IF(H51&lt;=120,"91–120 Days",IF(H51&lt;=150,"121–150 Days","151+ Days"))))))))</f>
        <v/>
      </c>
    </row>
    <row r="52">
      <c r="A52" s="7" t="n"/>
      <c r="B52" s="7" t="n"/>
      <c r="C52" s="7" t="n"/>
      <c r="D52" s="7" t="n"/>
      <c r="E52" s="17" t="n"/>
      <c r="F52" s="8" t="n"/>
      <c r="G52" s="18" t="n"/>
      <c r="H52" s="19">
        <f>IF(A52="","",IF(UPPER(G52)="Y","",IF(E52="","",TODAY()-E52)))</f>
        <v/>
      </c>
      <c r="I52" s="7">
        <f>IF(A52="","",IF(UPPER(G52)="Y","Paid",IF(E52="","Date Needed",IF(H52&lt;=30,"Under 30 Days",IF(H52&lt;=60,"31–60 Days",IF(H52&lt;=90,"61–90 Days",IF(H52&lt;=120,"91–120 Days",IF(H52&lt;=150,"121–150 Days","151+ Days"))))))))</f>
        <v/>
      </c>
    </row>
    <row r="53">
      <c r="A53" s="7" t="n"/>
      <c r="B53" s="7" t="n"/>
      <c r="C53" s="7" t="n"/>
      <c r="D53" s="7" t="n"/>
      <c r="E53" s="17" t="n"/>
      <c r="F53" s="8" t="n"/>
      <c r="G53" s="18" t="n"/>
      <c r="H53" s="19">
        <f>IF(A53="","",IF(UPPER(G53)="Y","",IF(E53="","",TODAY()-E53)))</f>
        <v/>
      </c>
      <c r="I53" s="7">
        <f>IF(A53="","",IF(UPPER(G53)="Y","Paid",IF(E53="","Date Needed",IF(H53&lt;=30,"Under 30 Days",IF(H53&lt;=60,"31–60 Days",IF(H53&lt;=90,"61–90 Days",IF(H53&lt;=120,"91–120 Days",IF(H53&lt;=150,"121–150 Days","151+ Days"))))))))</f>
        <v/>
      </c>
    </row>
    <row r="54">
      <c r="A54" s="7" t="n"/>
      <c r="B54" s="7" t="n"/>
      <c r="C54" s="7" t="n"/>
      <c r="D54" s="7" t="n"/>
      <c r="E54" s="17" t="n"/>
      <c r="F54" s="8" t="n"/>
      <c r="G54" s="18" t="n"/>
      <c r="H54" s="19">
        <f>IF(A54="","",IF(UPPER(G54)="Y","",IF(E54="","",TODAY()-E54)))</f>
        <v/>
      </c>
      <c r="I54" s="7">
        <f>IF(A54="","",IF(UPPER(G54)="Y","Paid",IF(E54="","Date Needed",IF(H54&lt;=30,"Under 30 Days",IF(H54&lt;=60,"31–60 Days",IF(H54&lt;=90,"61–90 Days",IF(H54&lt;=120,"91–120 Days",IF(H54&lt;=150,"121–150 Days","151+ Days"))))))))</f>
        <v/>
      </c>
    </row>
    <row r="55">
      <c r="A55" s="7" t="n"/>
      <c r="B55" s="7" t="n"/>
      <c r="C55" s="7" t="n"/>
      <c r="D55" s="7" t="n"/>
      <c r="E55" s="17" t="n"/>
      <c r="F55" s="8" t="n"/>
      <c r="G55" s="18" t="n"/>
      <c r="H55" s="19">
        <f>IF(A55="","",IF(UPPER(G55)="Y","",IF(E55="","",TODAY()-E55)))</f>
        <v/>
      </c>
      <c r="I55" s="7">
        <f>IF(A55="","",IF(UPPER(G55)="Y","Paid",IF(E55="","Date Needed",IF(H55&lt;=30,"Under 30 Days",IF(H55&lt;=60,"31–60 Days",IF(H55&lt;=90,"61–90 Days",IF(H55&lt;=120,"91–120 Days",IF(H55&lt;=150,"121–150 Days","151+ Days"))))))))</f>
        <v/>
      </c>
    </row>
    <row r="56">
      <c r="A56" s="7" t="n"/>
      <c r="B56" s="7" t="n"/>
      <c r="C56" s="7" t="n"/>
      <c r="D56" s="7" t="n"/>
      <c r="E56" s="17" t="n"/>
      <c r="F56" s="8" t="n"/>
      <c r="G56" s="18" t="n"/>
      <c r="H56" s="19">
        <f>IF(A56="","",IF(UPPER(G56)="Y","",IF(E56="","",TODAY()-E56)))</f>
        <v/>
      </c>
      <c r="I56" s="7">
        <f>IF(A56="","",IF(UPPER(G56)="Y","Paid",IF(E56="","Date Needed",IF(H56&lt;=30,"Under 30 Days",IF(H56&lt;=60,"31–60 Days",IF(H56&lt;=90,"61–90 Days",IF(H56&lt;=120,"91–120 Days",IF(H56&lt;=150,"121–150 Days","151+ Days"))))))))</f>
        <v/>
      </c>
    </row>
    <row r="57">
      <c r="A57" s="7" t="n"/>
      <c r="B57" s="7" t="n"/>
      <c r="C57" s="7" t="n"/>
      <c r="D57" s="7" t="n"/>
      <c r="E57" s="17" t="n"/>
      <c r="F57" s="8" t="n"/>
      <c r="G57" s="18" t="n"/>
      <c r="H57" s="19">
        <f>IF(A57="","",IF(UPPER(G57)="Y","",IF(E57="","",TODAY()-E57)))</f>
        <v/>
      </c>
      <c r="I57" s="7">
        <f>IF(A57="","",IF(UPPER(G57)="Y","Paid",IF(E57="","Date Needed",IF(H57&lt;=30,"Under 30 Days",IF(H57&lt;=60,"31–60 Days",IF(H57&lt;=90,"61–90 Days",IF(H57&lt;=120,"91–120 Days",IF(H57&lt;=150,"121–150 Days","151+ Days"))))))))</f>
        <v/>
      </c>
    </row>
    <row r="58">
      <c r="A58" s="7" t="n"/>
      <c r="B58" s="7" t="n"/>
      <c r="C58" s="7" t="n"/>
      <c r="D58" s="7" t="n"/>
      <c r="E58" s="17" t="n"/>
      <c r="F58" s="8" t="n"/>
      <c r="G58" s="18" t="n"/>
      <c r="H58" s="19">
        <f>IF(A58="","",IF(UPPER(G58)="Y","",IF(E58="","",TODAY()-E58)))</f>
        <v/>
      </c>
      <c r="I58" s="7">
        <f>IF(A58="","",IF(UPPER(G58)="Y","Paid",IF(E58="","Date Needed",IF(H58&lt;=30,"Under 30 Days",IF(H58&lt;=60,"31–60 Days",IF(H58&lt;=90,"61–90 Days",IF(H58&lt;=120,"91–120 Days",IF(H58&lt;=150,"121–150 Days","151+ Days"))))))))</f>
        <v/>
      </c>
    </row>
    <row r="59">
      <c r="A59" s="7" t="n"/>
      <c r="B59" s="7" t="n"/>
      <c r="C59" s="7" t="n"/>
      <c r="D59" s="7" t="n"/>
      <c r="E59" s="17" t="n"/>
      <c r="F59" s="8" t="n"/>
      <c r="G59" s="18" t="n"/>
      <c r="H59" s="19">
        <f>IF(A59="","",IF(UPPER(G59)="Y","",IF(E59="","",TODAY()-E59)))</f>
        <v/>
      </c>
      <c r="I59" s="7">
        <f>IF(A59="","",IF(UPPER(G59)="Y","Paid",IF(E59="","Date Needed",IF(H59&lt;=30,"Under 30 Days",IF(H59&lt;=60,"31–60 Days",IF(H59&lt;=90,"61–90 Days",IF(H59&lt;=120,"91–120 Days",IF(H59&lt;=150,"121–150 Days","151+ Days"))))))))</f>
        <v/>
      </c>
    </row>
    <row r="60">
      <c r="A60" s="7" t="n"/>
      <c r="B60" s="7" t="n"/>
      <c r="C60" s="7" t="n"/>
      <c r="D60" s="7" t="n"/>
      <c r="E60" s="17" t="n"/>
      <c r="F60" s="8" t="n"/>
      <c r="G60" s="18" t="n"/>
      <c r="H60" s="19">
        <f>IF(A60="","",IF(UPPER(G60)="Y","",IF(E60="","",TODAY()-E60)))</f>
        <v/>
      </c>
      <c r="I60" s="7">
        <f>IF(A60="","",IF(UPPER(G60)="Y","Paid",IF(E60="","Date Needed",IF(H60&lt;=30,"Under 30 Days",IF(H60&lt;=60,"31–60 Days",IF(H60&lt;=90,"61–90 Days",IF(H60&lt;=120,"91–120 Days",IF(H60&lt;=150,"121–150 Days","151+ Days"))))))))</f>
        <v/>
      </c>
    </row>
    <row r="61">
      <c r="A61" s="7" t="n"/>
      <c r="B61" s="7" t="n"/>
      <c r="C61" s="7" t="n"/>
      <c r="D61" s="7" t="n"/>
      <c r="E61" s="17" t="n"/>
      <c r="F61" s="8" t="n"/>
      <c r="G61" s="18" t="n"/>
      <c r="H61" s="19">
        <f>IF(A61="","",IF(UPPER(G61)="Y","",IF(E61="","",TODAY()-E61)))</f>
        <v/>
      </c>
      <c r="I61" s="7">
        <f>IF(A61="","",IF(UPPER(G61)="Y","Paid",IF(E61="","Date Needed",IF(H61&lt;=30,"Under 30 Days",IF(H61&lt;=60,"31–60 Days",IF(H61&lt;=90,"61–90 Days",IF(H61&lt;=120,"91–120 Days",IF(H61&lt;=150,"121–150 Days","151+ Days"))))))))</f>
        <v/>
      </c>
    </row>
    <row r="62">
      <c r="A62" s="7" t="n"/>
      <c r="B62" s="7" t="n"/>
      <c r="C62" s="7" t="n"/>
      <c r="D62" s="7" t="n"/>
      <c r="E62" s="17" t="n"/>
      <c r="F62" s="8" t="n"/>
      <c r="G62" s="18" t="n"/>
      <c r="H62" s="19">
        <f>IF(A62="","",IF(UPPER(G62)="Y","",IF(E62="","",TODAY()-E62)))</f>
        <v/>
      </c>
      <c r="I62" s="7">
        <f>IF(A62="","",IF(UPPER(G62)="Y","Paid",IF(E62="","Date Needed",IF(H62&lt;=30,"Under 30 Days",IF(H62&lt;=60,"31–60 Days",IF(H62&lt;=90,"61–90 Days",IF(H62&lt;=120,"91–120 Days",IF(H62&lt;=150,"121–150 Days","151+ Days"))))))))</f>
        <v/>
      </c>
    </row>
    <row r="63">
      <c r="A63" s="7" t="n"/>
      <c r="B63" s="7" t="n"/>
      <c r="C63" s="7" t="n"/>
      <c r="D63" s="7" t="n"/>
      <c r="E63" s="17" t="n"/>
      <c r="F63" s="8" t="n"/>
      <c r="G63" s="18" t="n"/>
      <c r="H63" s="19">
        <f>IF(A63="","",IF(UPPER(G63)="Y","",IF(E63="","",TODAY()-E63)))</f>
        <v/>
      </c>
      <c r="I63" s="7">
        <f>IF(A63="","",IF(UPPER(G63)="Y","Paid",IF(E63="","Date Needed",IF(H63&lt;=30,"Under 30 Days",IF(H63&lt;=60,"31–60 Days",IF(H63&lt;=90,"61–90 Days",IF(H63&lt;=120,"91–120 Days",IF(H63&lt;=150,"121–150 Days","151+ Days"))))))))</f>
        <v/>
      </c>
    </row>
    <row r="64">
      <c r="A64" s="7" t="n"/>
      <c r="B64" s="7" t="n"/>
      <c r="C64" s="7" t="n"/>
      <c r="D64" s="7" t="n"/>
      <c r="E64" s="17" t="n"/>
      <c r="F64" s="8" t="n"/>
      <c r="G64" s="18" t="n"/>
      <c r="H64" s="19">
        <f>IF(A64="","",IF(UPPER(G64)="Y","",IF(E64="","",TODAY()-E64)))</f>
        <v/>
      </c>
      <c r="I64" s="7">
        <f>IF(A64="","",IF(UPPER(G64)="Y","Paid",IF(E64="","Date Needed",IF(H64&lt;=30,"Under 30 Days",IF(H64&lt;=60,"31–60 Days",IF(H64&lt;=90,"61–90 Days",IF(H64&lt;=120,"91–120 Days",IF(H64&lt;=150,"121–150 Days","151+ Days"))))))))</f>
        <v/>
      </c>
    </row>
    <row r="65">
      <c r="A65" s="7" t="n"/>
      <c r="B65" s="7" t="n"/>
      <c r="C65" s="7" t="n"/>
      <c r="D65" s="7" t="n"/>
      <c r="E65" s="17" t="n"/>
      <c r="F65" s="8" t="n"/>
      <c r="G65" s="18" t="n"/>
      <c r="H65" s="19">
        <f>IF(A65="","",IF(UPPER(G65)="Y","",IF(E65="","",TODAY()-E65)))</f>
        <v/>
      </c>
      <c r="I65" s="7">
        <f>IF(A65="","",IF(UPPER(G65)="Y","Paid",IF(E65="","Date Needed",IF(H65&lt;=30,"Under 30 Days",IF(H65&lt;=60,"31–60 Days",IF(H65&lt;=90,"61–90 Days",IF(H65&lt;=120,"91–120 Days",IF(H65&lt;=150,"121–150 Days","151+ Days"))))))))</f>
        <v/>
      </c>
    </row>
    <row r="66">
      <c r="A66" s="7" t="n"/>
      <c r="B66" s="7" t="n"/>
      <c r="C66" s="7" t="n"/>
      <c r="D66" s="7" t="n"/>
      <c r="E66" s="17" t="n"/>
      <c r="F66" s="8" t="n"/>
      <c r="G66" s="18" t="n"/>
      <c r="H66" s="19">
        <f>IF(A66="","",IF(UPPER(G66)="Y","",IF(E66="","",TODAY()-E66)))</f>
        <v/>
      </c>
      <c r="I66" s="7">
        <f>IF(A66="","",IF(UPPER(G66)="Y","Paid",IF(E66="","Date Needed",IF(H66&lt;=30,"Under 30 Days",IF(H66&lt;=60,"31–60 Days",IF(H66&lt;=90,"61–90 Days",IF(H66&lt;=120,"91–120 Days",IF(H66&lt;=150,"121–150 Days","151+ Days"))))))))</f>
        <v/>
      </c>
    </row>
    <row r="67">
      <c r="A67" s="7" t="n"/>
      <c r="B67" s="7" t="n"/>
      <c r="C67" s="7" t="n"/>
      <c r="D67" s="7" t="n"/>
      <c r="E67" s="17" t="n"/>
      <c r="F67" s="8" t="n"/>
      <c r="G67" s="18" t="n"/>
      <c r="H67" s="19">
        <f>IF(A67="","",IF(UPPER(G67)="Y","",IF(E67="","",TODAY()-E67)))</f>
        <v/>
      </c>
      <c r="I67" s="7">
        <f>IF(A67="","",IF(UPPER(G67)="Y","Paid",IF(E67="","Date Needed",IF(H67&lt;=30,"Under 30 Days",IF(H67&lt;=60,"31–60 Days",IF(H67&lt;=90,"61–90 Days",IF(H67&lt;=120,"91–120 Days",IF(H67&lt;=150,"121–150 Days","151+ Days"))))))))</f>
        <v/>
      </c>
    </row>
    <row r="68">
      <c r="A68" s="7" t="n"/>
      <c r="B68" s="7" t="n"/>
      <c r="C68" s="7" t="n"/>
      <c r="D68" s="7" t="n"/>
      <c r="E68" s="17" t="n"/>
      <c r="F68" s="8" t="n"/>
      <c r="G68" s="18" t="n"/>
      <c r="H68" s="19">
        <f>IF(A68="","",IF(UPPER(G68)="Y","",IF(E68="","",TODAY()-E68)))</f>
        <v/>
      </c>
      <c r="I68" s="7">
        <f>IF(A68="","",IF(UPPER(G68)="Y","Paid",IF(E68="","Date Needed",IF(H68&lt;=30,"Under 30 Days",IF(H68&lt;=60,"31–60 Days",IF(H68&lt;=90,"61–90 Days",IF(H68&lt;=120,"91–120 Days",IF(H68&lt;=150,"121–150 Days","151+ Days"))))))))</f>
        <v/>
      </c>
    </row>
    <row r="69">
      <c r="A69" s="7" t="n"/>
      <c r="B69" s="7" t="n"/>
      <c r="C69" s="7" t="n"/>
      <c r="D69" s="7" t="n"/>
      <c r="E69" s="17" t="n"/>
      <c r="F69" s="8" t="n"/>
      <c r="G69" s="18" t="n"/>
      <c r="H69" s="19">
        <f>IF(A69="","",IF(UPPER(G69)="Y","",IF(E69="","",TODAY()-E69)))</f>
        <v/>
      </c>
      <c r="I69" s="7">
        <f>IF(A69="","",IF(UPPER(G69)="Y","Paid",IF(E69="","Date Needed",IF(H69&lt;=30,"Under 30 Days",IF(H69&lt;=60,"31–60 Days",IF(H69&lt;=90,"61–90 Days",IF(H69&lt;=120,"91–120 Days",IF(H69&lt;=150,"121–150 Days","151+ Days"))))))))</f>
        <v/>
      </c>
    </row>
    <row r="70">
      <c r="A70" s="7" t="n"/>
      <c r="B70" s="7" t="n"/>
      <c r="C70" s="7" t="n"/>
      <c r="D70" s="7" t="n"/>
      <c r="E70" s="17" t="n"/>
      <c r="F70" s="8" t="n"/>
      <c r="G70" s="18" t="n"/>
      <c r="H70" s="19">
        <f>IF(A70="","",IF(UPPER(G70)="Y","",IF(E70="","",TODAY()-E70)))</f>
        <v/>
      </c>
      <c r="I70" s="7">
        <f>IF(A70="","",IF(UPPER(G70)="Y","Paid",IF(E70="","Date Needed",IF(H70&lt;=30,"Under 30 Days",IF(H70&lt;=60,"31–60 Days",IF(H70&lt;=90,"61–90 Days",IF(H70&lt;=120,"91–120 Days",IF(H70&lt;=150,"121–150 Days","151+ Days"))))))))</f>
        <v/>
      </c>
    </row>
    <row r="71">
      <c r="A71" s="7" t="n"/>
      <c r="B71" s="7" t="n"/>
      <c r="C71" s="7" t="n"/>
      <c r="D71" s="7" t="n"/>
      <c r="E71" s="17" t="n"/>
      <c r="F71" s="8" t="n"/>
      <c r="G71" s="18" t="n"/>
      <c r="H71" s="19">
        <f>IF(A71="","",IF(UPPER(G71)="Y","",IF(E71="","",TODAY()-E71)))</f>
        <v/>
      </c>
      <c r="I71" s="7">
        <f>IF(A71="","",IF(UPPER(G71)="Y","Paid",IF(E71="","Date Needed",IF(H71&lt;=30,"Under 30 Days",IF(H71&lt;=60,"31–60 Days",IF(H71&lt;=90,"61–90 Days",IF(H71&lt;=120,"91–120 Days",IF(H71&lt;=150,"121–150 Days","151+ Days"))))))))</f>
        <v/>
      </c>
    </row>
    <row r="72">
      <c r="A72" s="7" t="n"/>
      <c r="B72" s="7" t="n"/>
      <c r="C72" s="7" t="n"/>
      <c r="D72" s="7" t="n"/>
      <c r="E72" s="17" t="n"/>
      <c r="F72" s="8" t="n"/>
      <c r="G72" s="18" t="n"/>
      <c r="H72" s="19">
        <f>IF(A72="","",IF(UPPER(G72)="Y","",IF(E72="","",TODAY()-E72)))</f>
        <v/>
      </c>
      <c r="I72" s="7">
        <f>IF(A72="","",IF(UPPER(G72)="Y","Paid",IF(E72="","Date Needed",IF(H72&lt;=30,"Under 30 Days",IF(H72&lt;=60,"31–60 Days",IF(H72&lt;=90,"61–90 Days",IF(H72&lt;=120,"91–120 Days",IF(H72&lt;=150,"121–150 Days","151+ Days"))))))))</f>
        <v/>
      </c>
    </row>
    <row r="73">
      <c r="A73" s="7" t="n"/>
      <c r="B73" s="7" t="n"/>
      <c r="C73" s="7" t="n"/>
      <c r="D73" s="7" t="n"/>
      <c r="E73" s="17" t="n"/>
      <c r="F73" s="8" t="n"/>
      <c r="G73" s="18" t="n"/>
      <c r="H73" s="19">
        <f>IF(A73="","",IF(UPPER(G73)="Y","",IF(E73="","",TODAY()-E73)))</f>
        <v/>
      </c>
      <c r="I73" s="7">
        <f>IF(A73="","",IF(UPPER(G73)="Y","Paid",IF(E73="","Date Needed",IF(H73&lt;=30,"Under 30 Days",IF(H73&lt;=60,"31–60 Days",IF(H73&lt;=90,"61–90 Days",IF(H73&lt;=120,"91–120 Days",IF(H73&lt;=150,"121–150 Days","151+ Days"))))))))</f>
        <v/>
      </c>
    </row>
    <row r="74">
      <c r="A74" s="7" t="n"/>
      <c r="B74" s="7" t="n"/>
      <c r="C74" s="7" t="n"/>
      <c r="D74" s="7" t="n"/>
      <c r="E74" s="17" t="n"/>
      <c r="F74" s="8" t="n"/>
      <c r="G74" s="18" t="n"/>
      <c r="H74" s="19">
        <f>IF(A74="","",IF(UPPER(G74)="Y","",IF(E74="","",TODAY()-E74)))</f>
        <v/>
      </c>
      <c r="I74" s="7">
        <f>IF(A74="","",IF(UPPER(G74)="Y","Paid",IF(E74="","Date Needed",IF(H74&lt;=30,"Under 30 Days",IF(H74&lt;=60,"31–60 Days",IF(H74&lt;=90,"61–90 Days",IF(H74&lt;=120,"91–120 Days",IF(H74&lt;=150,"121–150 Days","151+ Days"))))))))</f>
        <v/>
      </c>
    </row>
    <row r="75">
      <c r="A75" s="7" t="n"/>
      <c r="B75" s="7" t="n"/>
      <c r="C75" s="7" t="n"/>
      <c r="D75" s="7" t="n"/>
      <c r="E75" s="17" t="n"/>
      <c r="F75" s="8" t="n"/>
      <c r="G75" s="18" t="n"/>
      <c r="H75" s="19">
        <f>IF(A75="","",IF(UPPER(G75)="Y","",IF(E75="","",TODAY()-E75)))</f>
        <v/>
      </c>
      <c r="I75" s="7">
        <f>IF(A75="","",IF(UPPER(G75)="Y","Paid",IF(E75="","Date Needed",IF(H75&lt;=30,"Under 30 Days",IF(H75&lt;=60,"31–60 Days",IF(H75&lt;=90,"61–90 Days",IF(H75&lt;=120,"91–120 Days",IF(H75&lt;=150,"121–150 Days","151+ Days"))))))))</f>
        <v/>
      </c>
    </row>
    <row r="76">
      <c r="A76" s="7" t="n"/>
      <c r="B76" s="7" t="n"/>
      <c r="C76" s="7" t="n"/>
      <c r="D76" s="7" t="n"/>
      <c r="E76" s="17" t="n"/>
      <c r="F76" s="8" t="n"/>
      <c r="G76" s="18" t="n"/>
      <c r="H76" s="19">
        <f>IF(A76="","",IF(UPPER(G76)="Y","",IF(E76="","",TODAY()-E76)))</f>
        <v/>
      </c>
      <c r="I76" s="7">
        <f>IF(A76="","",IF(UPPER(G76)="Y","Paid",IF(E76="","Date Needed",IF(H76&lt;=30,"Under 30 Days",IF(H76&lt;=60,"31–60 Days",IF(H76&lt;=90,"61–90 Days",IF(H76&lt;=120,"91–120 Days",IF(H76&lt;=150,"121–150 Days","151+ Days"))))))))</f>
        <v/>
      </c>
    </row>
    <row r="77">
      <c r="A77" s="7" t="n"/>
      <c r="B77" s="7" t="n"/>
      <c r="C77" s="7" t="n"/>
      <c r="D77" s="7" t="n"/>
      <c r="E77" s="17" t="n"/>
      <c r="F77" s="8" t="n"/>
      <c r="G77" s="18" t="n"/>
      <c r="H77" s="19">
        <f>IF(A77="","",IF(UPPER(G77)="Y","",IF(E77="","",TODAY()-E77)))</f>
        <v/>
      </c>
      <c r="I77" s="7">
        <f>IF(A77="","",IF(UPPER(G77)="Y","Paid",IF(E77="","Date Needed",IF(H77&lt;=30,"Under 30 Days",IF(H77&lt;=60,"31–60 Days",IF(H77&lt;=90,"61–90 Days",IF(H77&lt;=120,"91–120 Days",IF(H77&lt;=150,"121–150 Days","151+ Days"))))))))</f>
        <v/>
      </c>
    </row>
    <row r="78">
      <c r="A78" s="7" t="n"/>
      <c r="B78" s="7" t="n"/>
      <c r="C78" s="7" t="n"/>
      <c r="D78" s="7" t="n"/>
      <c r="E78" s="17" t="n"/>
      <c r="F78" s="8" t="n"/>
      <c r="G78" s="18" t="n"/>
      <c r="H78" s="19">
        <f>IF(A78="","",IF(UPPER(G78)="Y","",IF(E78="","",TODAY()-E78)))</f>
        <v/>
      </c>
      <c r="I78" s="7">
        <f>IF(A78="","",IF(UPPER(G78)="Y","Paid",IF(E78="","Date Needed",IF(H78&lt;=30,"Under 30 Days",IF(H78&lt;=60,"31–60 Days",IF(H78&lt;=90,"61–90 Days",IF(H78&lt;=120,"91–120 Days",IF(H78&lt;=150,"121–150 Days","151+ Days"))))))))</f>
        <v/>
      </c>
    </row>
    <row r="79">
      <c r="A79" s="7" t="n"/>
      <c r="B79" s="7" t="n"/>
      <c r="C79" s="7" t="n"/>
      <c r="D79" s="7" t="n"/>
      <c r="E79" s="17" t="n"/>
      <c r="F79" s="8" t="n"/>
      <c r="G79" s="18" t="n"/>
      <c r="H79" s="19">
        <f>IF(A79="","",IF(UPPER(G79)="Y","",IF(E79="","",TODAY()-E79)))</f>
        <v/>
      </c>
      <c r="I79" s="7">
        <f>IF(A79="","",IF(UPPER(G79)="Y","Paid",IF(E79="","Date Needed",IF(H79&lt;=30,"Under 30 Days",IF(H79&lt;=60,"31–60 Days",IF(H79&lt;=90,"61–90 Days",IF(H79&lt;=120,"91–120 Days",IF(H79&lt;=150,"121–150 Days","151+ Days"))))))))</f>
        <v/>
      </c>
    </row>
    <row r="80">
      <c r="A80" s="7" t="n"/>
      <c r="B80" s="7" t="n"/>
      <c r="C80" s="7" t="n"/>
      <c r="D80" s="7" t="n"/>
      <c r="E80" s="17" t="n"/>
      <c r="F80" s="8" t="n"/>
      <c r="G80" s="18" t="n"/>
      <c r="H80" s="19">
        <f>IF(A80="","",IF(UPPER(G80)="Y","",IF(E80="","",TODAY()-E80)))</f>
        <v/>
      </c>
      <c r="I80" s="7">
        <f>IF(A80="","",IF(UPPER(G80)="Y","Paid",IF(E80="","Date Needed",IF(H80&lt;=30,"Under 30 Days",IF(H80&lt;=60,"31–60 Days",IF(H80&lt;=90,"61–90 Days",IF(H80&lt;=120,"91–120 Days",IF(H80&lt;=150,"121–150 Days","151+ Days"))))))))</f>
        <v/>
      </c>
    </row>
    <row r="81">
      <c r="A81" s="7" t="n"/>
      <c r="B81" s="7" t="n"/>
      <c r="C81" s="7" t="n"/>
      <c r="D81" s="7" t="n"/>
      <c r="E81" s="17" t="n"/>
      <c r="F81" s="8" t="n"/>
      <c r="G81" s="18" t="n"/>
      <c r="H81" s="19">
        <f>IF(A81="","",IF(UPPER(G81)="Y","",IF(E81="","",TODAY()-E81)))</f>
        <v/>
      </c>
      <c r="I81" s="7">
        <f>IF(A81="","",IF(UPPER(G81)="Y","Paid",IF(E81="","Date Needed",IF(H81&lt;=30,"Under 30 Days",IF(H81&lt;=60,"31–60 Days",IF(H81&lt;=90,"61–90 Days",IF(H81&lt;=120,"91–120 Days",IF(H81&lt;=150,"121–150 Days","151+ Days"))))))))</f>
        <v/>
      </c>
    </row>
    <row r="82">
      <c r="A82" s="7" t="n"/>
      <c r="B82" s="7" t="n"/>
      <c r="C82" s="7" t="n"/>
      <c r="D82" s="7" t="n"/>
      <c r="E82" s="17" t="n"/>
      <c r="F82" s="8" t="n"/>
      <c r="G82" s="18" t="n"/>
      <c r="H82" s="19">
        <f>IF(A82="","",IF(UPPER(G82)="Y","",IF(E82="","",TODAY()-E82)))</f>
        <v/>
      </c>
      <c r="I82" s="7">
        <f>IF(A82="","",IF(UPPER(G82)="Y","Paid",IF(E82="","Date Needed",IF(H82&lt;=30,"Under 30 Days",IF(H82&lt;=60,"31–60 Days",IF(H82&lt;=90,"61–90 Days",IF(H82&lt;=120,"91–120 Days",IF(H82&lt;=150,"121–150 Days","151+ Days"))))))))</f>
        <v/>
      </c>
    </row>
    <row r="83">
      <c r="A83" s="7" t="n"/>
      <c r="B83" s="7" t="n"/>
      <c r="C83" s="7" t="n"/>
      <c r="D83" s="7" t="n"/>
      <c r="E83" s="17" t="n"/>
      <c r="F83" s="8" t="n"/>
      <c r="G83" s="18" t="n"/>
      <c r="H83" s="19">
        <f>IF(A83="","",IF(UPPER(G83)="Y","",IF(E83="","",TODAY()-E83)))</f>
        <v/>
      </c>
      <c r="I83" s="7">
        <f>IF(A83="","",IF(UPPER(G83)="Y","Paid",IF(E83="","Date Needed",IF(H83&lt;=30,"Under 30 Days",IF(H83&lt;=60,"31–60 Days",IF(H83&lt;=90,"61–90 Days",IF(H83&lt;=120,"91–120 Days",IF(H83&lt;=150,"121–150 Days","151+ Days"))))))))</f>
        <v/>
      </c>
    </row>
    <row r="84">
      <c r="A84" s="7" t="n"/>
      <c r="B84" s="7" t="n"/>
      <c r="C84" s="7" t="n"/>
      <c r="D84" s="7" t="n"/>
      <c r="E84" s="17" t="n"/>
      <c r="F84" s="8" t="n"/>
      <c r="G84" s="18" t="n"/>
      <c r="H84" s="19">
        <f>IF(A84="","",IF(UPPER(G84)="Y","",IF(E84="","",TODAY()-E84)))</f>
        <v/>
      </c>
      <c r="I84" s="7">
        <f>IF(A84="","",IF(UPPER(G84)="Y","Paid",IF(E84="","Date Needed",IF(H84&lt;=30,"Under 30 Days",IF(H84&lt;=60,"31–60 Days",IF(H84&lt;=90,"61–90 Days",IF(H84&lt;=120,"91–120 Days",IF(H84&lt;=150,"121–150 Days","151+ Days"))))))))</f>
        <v/>
      </c>
    </row>
    <row r="85">
      <c r="A85" s="7" t="n"/>
      <c r="B85" s="7" t="n"/>
      <c r="C85" s="7" t="n"/>
      <c r="D85" s="7" t="n"/>
      <c r="E85" s="17" t="n"/>
      <c r="F85" s="8" t="n"/>
      <c r="G85" s="18" t="n"/>
      <c r="H85" s="19">
        <f>IF(A85="","",IF(UPPER(G85)="Y","",IF(E85="","",TODAY()-E85)))</f>
        <v/>
      </c>
      <c r="I85" s="7">
        <f>IF(A85="","",IF(UPPER(G85)="Y","Paid",IF(E85="","Date Needed",IF(H85&lt;=30,"Under 30 Days",IF(H85&lt;=60,"31–60 Days",IF(H85&lt;=90,"61–90 Days",IF(H85&lt;=120,"91–120 Days",IF(H85&lt;=150,"121–150 Days","151+ Days"))))))))</f>
        <v/>
      </c>
    </row>
    <row r="86">
      <c r="A86" s="7" t="n"/>
      <c r="B86" s="7" t="n"/>
      <c r="C86" s="7" t="n"/>
      <c r="D86" s="7" t="n"/>
      <c r="E86" s="17" t="n"/>
      <c r="F86" s="8" t="n"/>
      <c r="G86" s="18" t="n"/>
      <c r="H86" s="19">
        <f>IF(A86="","",IF(UPPER(G86)="Y","",IF(E86="","",TODAY()-E86)))</f>
        <v/>
      </c>
      <c r="I86" s="7">
        <f>IF(A86="","",IF(UPPER(G86)="Y","Paid",IF(E86="","Date Needed",IF(H86&lt;=30,"Under 30 Days",IF(H86&lt;=60,"31–60 Days",IF(H86&lt;=90,"61–90 Days",IF(H86&lt;=120,"91–120 Days",IF(H86&lt;=150,"121–150 Days","151+ Days"))))))))</f>
        <v/>
      </c>
    </row>
    <row r="87">
      <c r="A87" s="7" t="n"/>
      <c r="B87" s="7" t="n"/>
      <c r="C87" s="7" t="n"/>
      <c r="D87" s="7" t="n"/>
      <c r="E87" s="17" t="n"/>
      <c r="F87" s="8" t="n"/>
      <c r="G87" s="18" t="n"/>
      <c r="H87" s="19">
        <f>IF(A87="","",IF(UPPER(G87)="Y","",IF(E87="","",TODAY()-E87)))</f>
        <v/>
      </c>
      <c r="I87" s="7">
        <f>IF(A87="","",IF(UPPER(G87)="Y","Paid",IF(E87="","Date Needed",IF(H87&lt;=30,"Under 30 Days",IF(H87&lt;=60,"31–60 Days",IF(H87&lt;=90,"61–90 Days",IF(H87&lt;=120,"91–120 Days",IF(H87&lt;=150,"121–150 Days","151+ Days"))))))))</f>
        <v/>
      </c>
    </row>
    <row r="88">
      <c r="A88" s="7" t="n"/>
      <c r="B88" s="7" t="n"/>
      <c r="C88" s="7" t="n"/>
      <c r="D88" s="7" t="n"/>
      <c r="E88" s="17" t="n"/>
      <c r="F88" s="8" t="n"/>
      <c r="G88" s="18" t="n"/>
      <c r="H88" s="19">
        <f>IF(A88="","",IF(UPPER(G88)="Y","",IF(E88="","",TODAY()-E88)))</f>
        <v/>
      </c>
      <c r="I88" s="7">
        <f>IF(A88="","",IF(UPPER(G88)="Y","Paid",IF(E88="","Date Needed",IF(H88&lt;=30,"Under 30 Days",IF(H88&lt;=60,"31–60 Days",IF(H88&lt;=90,"61–90 Days",IF(H88&lt;=120,"91–120 Days",IF(H88&lt;=150,"121–150 Days","151+ Days"))))))))</f>
        <v/>
      </c>
    </row>
    <row r="89">
      <c r="A89" s="7" t="n"/>
      <c r="B89" s="7" t="n"/>
      <c r="C89" s="7" t="n"/>
      <c r="D89" s="7" t="n"/>
      <c r="E89" s="17" t="n"/>
      <c r="F89" s="8" t="n"/>
      <c r="G89" s="18" t="n"/>
      <c r="H89" s="19">
        <f>IF(A89="","",IF(UPPER(G89)="Y","",IF(E89="","",TODAY()-E89)))</f>
        <v/>
      </c>
      <c r="I89" s="7">
        <f>IF(A89="","",IF(UPPER(G89)="Y","Paid",IF(E89="","Date Needed",IF(H89&lt;=30,"Under 30 Days",IF(H89&lt;=60,"31–60 Days",IF(H89&lt;=90,"61–90 Days",IF(H89&lt;=120,"91–120 Days",IF(H89&lt;=150,"121–150 Days","151+ Days"))))))))</f>
        <v/>
      </c>
    </row>
    <row r="90">
      <c r="A90" s="7" t="n"/>
      <c r="B90" s="7" t="n"/>
      <c r="C90" s="7" t="n"/>
      <c r="D90" s="7" t="n"/>
      <c r="E90" s="17" t="n"/>
      <c r="F90" s="8" t="n"/>
      <c r="G90" s="18" t="n"/>
      <c r="H90" s="19">
        <f>IF(A90="","",IF(UPPER(G90)="Y","",IF(E90="","",TODAY()-E90)))</f>
        <v/>
      </c>
      <c r="I90" s="7">
        <f>IF(A90="","",IF(UPPER(G90)="Y","Paid",IF(E90="","Date Needed",IF(H90&lt;=30,"Under 30 Days",IF(H90&lt;=60,"31–60 Days",IF(H90&lt;=90,"61–90 Days",IF(H90&lt;=120,"91–120 Days",IF(H90&lt;=150,"121–150 Days","151+ Days"))))))))</f>
        <v/>
      </c>
    </row>
    <row r="91">
      <c r="A91" s="7" t="n"/>
      <c r="B91" s="7" t="n"/>
      <c r="C91" s="7" t="n"/>
      <c r="D91" s="7" t="n"/>
      <c r="E91" s="17" t="n"/>
      <c r="F91" s="8" t="n"/>
      <c r="G91" s="18" t="n"/>
      <c r="H91" s="19">
        <f>IF(A91="","",IF(UPPER(G91)="Y","",IF(E91="","",TODAY()-E91)))</f>
        <v/>
      </c>
      <c r="I91" s="7">
        <f>IF(A91="","",IF(UPPER(G91)="Y","Paid",IF(E91="","Date Needed",IF(H91&lt;=30,"Under 30 Days",IF(H91&lt;=60,"31–60 Days",IF(H91&lt;=90,"61–90 Days",IF(H91&lt;=120,"91–120 Days",IF(H91&lt;=150,"121–150 Days","151+ Days"))))))))</f>
        <v/>
      </c>
    </row>
    <row r="92">
      <c r="A92" s="7" t="n"/>
      <c r="B92" s="7" t="n"/>
      <c r="C92" s="7" t="n"/>
      <c r="D92" s="7" t="n"/>
      <c r="E92" s="17" t="n"/>
      <c r="F92" s="8" t="n"/>
      <c r="G92" s="18" t="n"/>
      <c r="H92" s="19">
        <f>IF(A92="","",IF(UPPER(G92)="Y","",IF(E92="","",TODAY()-E92)))</f>
        <v/>
      </c>
      <c r="I92" s="7">
        <f>IF(A92="","",IF(UPPER(G92)="Y","Paid",IF(E92="","Date Needed",IF(H92&lt;=30,"Under 30 Days",IF(H92&lt;=60,"31–60 Days",IF(H92&lt;=90,"61–90 Days",IF(H92&lt;=120,"91–120 Days",IF(H92&lt;=150,"121–150 Days","151+ Days"))))))))</f>
        <v/>
      </c>
    </row>
    <row r="93">
      <c r="A93" s="7" t="n"/>
      <c r="B93" s="7" t="n"/>
      <c r="C93" s="7" t="n"/>
      <c r="D93" s="7" t="n"/>
      <c r="E93" s="17" t="n"/>
      <c r="F93" s="8" t="n"/>
      <c r="G93" s="18" t="n"/>
      <c r="H93" s="19">
        <f>IF(A93="","",IF(UPPER(G93)="Y","",IF(E93="","",TODAY()-E93)))</f>
        <v/>
      </c>
      <c r="I93" s="7">
        <f>IF(A93="","",IF(UPPER(G93)="Y","Paid",IF(E93="","Date Needed",IF(H93&lt;=30,"Under 30 Days",IF(H93&lt;=60,"31–60 Days",IF(H93&lt;=90,"61–90 Days",IF(H93&lt;=120,"91–120 Days",IF(H93&lt;=150,"121–150 Days","151+ Days"))))))))</f>
        <v/>
      </c>
    </row>
    <row r="94">
      <c r="A94" s="7" t="n"/>
      <c r="B94" s="7" t="n"/>
      <c r="C94" s="7" t="n"/>
      <c r="D94" s="7" t="n"/>
      <c r="E94" s="17" t="n"/>
      <c r="F94" s="8" t="n"/>
      <c r="G94" s="18" t="n"/>
      <c r="H94" s="19">
        <f>IF(A94="","",IF(UPPER(G94)="Y","",IF(E94="","",TODAY()-E94)))</f>
        <v/>
      </c>
      <c r="I94" s="7">
        <f>IF(A94="","",IF(UPPER(G94)="Y","Paid",IF(E94="","Date Needed",IF(H94&lt;=30,"Under 30 Days",IF(H94&lt;=60,"31–60 Days",IF(H94&lt;=90,"61–90 Days",IF(H94&lt;=120,"91–120 Days",IF(H94&lt;=150,"121–150 Days","151+ Days"))))))))</f>
        <v/>
      </c>
    </row>
    <row r="95">
      <c r="A95" s="7" t="n"/>
      <c r="B95" s="7" t="n"/>
      <c r="C95" s="7" t="n"/>
      <c r="D95" s="7" t="n"/>
      <c r="E95" s="17" t="n"/>
      <c r="F95" s="8" t="n"/>
      <c r="G95" s="18" t="n"/>
      <c r="H95" s="19">
        <f>IF(A95="","",IF(UPPER(G95)="Y","",IF(E95="","",TODAY()-E95)))</f>
        <v/>
      </c>
      <c r="I95" s="7">
        <f>IF(A95="","",IF(UPPER(G95)="Y","Paid",IF(E95="","Date Needed",IF(H95&lt;=30,"Under 30 Days",IF(H95&lt;=60,"31–60 Days",IF(H95&lt;=90,"61–90 Days",IF(H95&lt;=120,"91–120 Days",IF(H95&lt;=150,"121–150 Days","151+ Days"))))))))</f>
        <v/>
      </c>
    </row>
    <row r="96">
      <c r="A96" s="7" t="n"/>
      <c r="B96" s="7" t="n"/>
      <c r="C96" s="7" t="n"/>
      <c r="D96" s="7" t="n"/>
      <c r="E96" s="17" t="n"/>
      <c r="F96" s="8" t="n"/>
      <c r="G96" s="18" t="n"/>
      <c r="H96" s="19">
        <f>IF(A96="","",IF(UPPER(G96)="Y","",IF(E96="","",TODAY()-E96)))</f>
        <v/>
      </c>
      <c r="I96" s="7">
        <f>IF(A96="","",IF(UPPER(G96)="Y","Paid",IF(E96="","Date Needed",IF(H96&lt;=30,"Under 30 Days",IF(H96&lt;=60,"31–60 Days",IF(H96&lt;=90,"61–90 Days",IF(H96&lt;=120,"91–120 Days",IF(H96&lt;=150,"121–150 Days","151+ Days"))))))))</f>
        <v/>
      </c>
    </row>
    <row r="97">
      <c r="A97" s="7" t="n"/>
      <c r="B97" s="7" t="n"/>
      <c r="C97" s="7" t="n"/>
      <c r="D97" s="7" t="n"/>
      <c r="E97" s="17" t="n"/>
      <c r="F97" s="8" t="n"/>
      <c r="G97" s="18" t="n"/>
      <c r="H97" s="19">
        <f>IF(A97="","",IF(UPPER(G97)="Y","",IF(E97="","",TODAY()-E97)))</f>
        <v/>
      </c>
      <c r="I97" s="7">
        <f>IF(A97="","",IF(UPPER(G97)="Y","Paid",IF(E97="","Date Needed",IF(H97&lt;=30,"Under 30 Days",IF(H97&lt;=60,"31–60 Days",IF(H97&lt;=90,"61–90 Days",IF(H97&lt;=120,"91–120 Days",IF(H97&lt;=150,"121–150 Days","151+ Days"))))))))</f>
        <v/>
      </c>
    </row>
    <row r="98">
      <c r="A98" s="7" t="n"/>
      <c r="B98" s="7" t="n"/>
      <c r="C98" s="7" t="n"/>
      <c r="D98" s="7" t="n"/>
      <c r="E98" s="17" t="n"/>
      <c r="F98" s="8" t="n"/>
      <c r="G98" s="18" t="n"/>
      <c r="H98" s="19">
        <f>IF(A98="","",IF(UPPER(G98)="Y","",IF(E98="","",TODAY()-E98)))</f>
        <v/>
      </c>
      <c r="I98" s="7">
        <f>IF(A98="","",IF(UPPER(G98)="Y","Paid",IF(E98="","Date Needed",IF(H98&lt;=30,"Under 30 Days",IF(H98&lt;=60,"31–60 Days",IF(H98&lt;=90,"61–90 Days",IF(H98&lt;=120,"91–120 Days",IF(H98&lt;=150,"121–150 Days","151+ Days"))))))))</f>
        <v/>
      </c>
    </row>
    <row r="99">
      <c r="A99" s="7" t="n"/>
      <c r="B99" s="7" t="n"/>
      <c r="C99" s="7" t="n"/>
      <c r="D99" s="7" t="n"/>
      <c r="E99" s="17" t="n"/>
      <c r="F99" s="8" t="n"/>
      <c r="G99" s="18" t="n"/>
      <c r="H99" s="19">
        <f>IF(A99="","",IF(UPPER(G99)="Y","",IF(E99="","",TODAY()-E99)))</f>
        <v/>
      </c>
      <c r="I99" s="7">
        <f>IF(A99="","",IF(UPPER(G99)="Y","Paid",IF(E99="","Date Needed",IF(H99&lt;=30,"Under 30 Days",IF(H99&lt;=60,"31–60 Days",IF(H99&lt;=90,"61–90 Days",IF(H99&lt;=120,"91–120 Days",IF(H99&lt;=150,"121–150 Days","151+ Days"))))))))</f>
        <v/>
      </c>
    </row>
    <row r="100">
      <c r="A100" s="7" t="n"/>
      <c r="B100" s="7" t="n"/>
      <c r="C100" s="7" t="n"/>
      <c r="D100" s="7" t="n"/>
      <c r="E100" s="17" t="n"/>
      <c r="F100" s="8" t="n"/>
      <c r="G100" s="18" t="n"/>
      <c r="H100" s="19">
        <f>IF(A100="","",IF(UPPER(G100)="Y","",IF(E100="","",TODAY()-E100)))</f>
        <v/>
      </c>
      <c r="I100" s="7">
        <f>IF(A100="","",IF(UPPER(G100)="Y","Paid",IF(E100="","Date Needed",IF(H100&lt;=30,"Under 30 Days",IF(H100&lt;=60,"31–60 Days",IF(H100&lt;=90,"61–90 Days",IF(H100&lt;=120,"91–120 Days",IF(H100&lt;=150,"121–150 Days","151+ Days"))))))))</f>
        <v/>
      </c>
    </row>
    <row r="101">
      <c r="A101" s="7" t="n"/>
      <c r="B101" s="7" t="n"/>
      <c r="C101" s="7" t="n"/>
      <c r="D101" s="7" t="n"/>
      <c r="E101" s="17" t="n"/>
      <c r="F101" s="8" t="n"/>
      <c r="G101" s="18" t="n"/>
      <c r="H101" s="19">
        <f>IF(A101="","",IF(UPPER(G101)="Y","",IF(E101="","",TODAY()-E101)))</f>
        <v/>
      </c>
      <c r="I101" s="7">
        <f>IF(A101="","",IF(UPPER(G101)="Y","Paid",IF(E101="","Date Needed",IF(H101&lt;=30,"Under 30 Days",IF(H101&lt;=60,"31–60 Days",IF(H101&lt;=90,"61–90 Days",IF(H101&lt;=120,"91–120 Days",IF(H101&lt;=150,"121–150 Days","151+ Days"))))))))</f>
        <v/>
      </c>
    </row>
    <row r="102">
      <c r="A102" s="7" t="n"/>
      <c r="B102" s="7" t="n"/>
      <c r="C102" s="7" t="n"/>
      <c r="D102" s="7" t="n"/>
      <c r="E102" s="17" t="n"/>
      <c r="F102" s="8" t="n"/>
      <c r="G102" s="18" t="n"/>
      <c r="H102" s="19">
        <f>IF(A102="","",IF(UPPER(G102)="Y","",IF(E102="","",TODAY()-E102)))</f>
        <v/>
      </c>
      <c r="I102" s="7">
        <f>IF(A102="","",IF(UPPER(G102)="Y","Paid",IF(E102="","Date Needed",IF(H102&lt;=30,"Under 30 Days",IF(H102&lt;=60,"31–60 Days",IF(H102&lt;=90,"61–90 Days",IF(H102&lt;=120,"91–120 Days",IF(H102&lt;=150,"121–150 Days","151+ Days"))))))))</f>
        <v/>
      </c>
    </row>
    <row r="103">
      <c r="A103" s="7" t="n"/>
      <c r="B103" s="7" t="n"/>
      <c r="C103" s="7" t="n"/>
      <c r="D103" s="7" t="n"/>
      <c r="E103" s="17" t="n"/>
      <c r="F103" s="8" t="n"/>
      <c r="G103" s="18" t="n"/>
      <c r="H103" s="19">
        <f>IF(A103="","",IF(UPPER(G103)="Y","",IF(E103="","",TODAY()-E103)))</f>
        <v/>
      </c>
      <c r="I103" s="7">
        <f>IF(A103="","",IF(UPPER(G103)="Y","Paid",IF(E103="","Date Needed",IF(H103&lt;=30,"Under 30 Days",IF(H103&lt;=60,"31–60 Days",IF(H103&lt;=90,"61–90 Days",IF(H103&lt;=120,"91–120 Days",IF(H103&lt;=150,"121–150 Days","151+ Days"))))))))</f>
        <v/>
      </c>
    </row>
    <row r="104">
      <c r="A104" s="7" t="n"/>
      <c r="B104" s="7" t="n"/>
      <c r="C104" s="7" t="n"/>
      <c r="D104" s="7" t="n"/>
      <c r="E104" s="17" t="n"/>
      <c r="F104" s="8" t="n"/>
      <c r="G104" s="18" t="n"/>
      <c r="H104" s="19">
        <f>IF(A104="","",IF(UPPER(G104)="Y","",IF(E104="","",TODAY()-E104)))</f>
        <v/>
      </c>
      <c r="I104" s="7">
        <f>IF(A104="","",IF(UPPER(G104)="Y","Paid",IF(E104="","Date Needed",IF(H104&lt;=30,"Under 30 Days",IF(H104&lt;=60,"31–60 Days",IF(H104&lt;=90,"61–90 Days",IF(H104&lt;=120,"91–120 Days",IF(H104&lt;=150,"121–150 Days","151+ Days"))))))))</f>
        <v/>
      </c>
    </row>
    <row r="105">
      <c r="A105" s="7" t="n"/>
      <c r="B105" s="7" t="n"/>
      <c r="C105" s="7" t="n"/>
      <c r="D105" s="7" t="n"/>
      <c r="E105" s="17" t="n"/>
      <c r="F105" s="8" t="n"/>
      <c r="G105" s="18" t="n"/>
      <c r="H105" s="19">
        <f>IF(A105="","",IF(UPPER(G105)="Y","",IF(E105="","",TODAY()-E105)))</f>
        <v/>
      </c>
      <c r="I105" s="7">
        <f>IF(A105="","",IF(UPPER(G105)="Y","Paid",IF(E105="","Date Needed",IF(H105&lt;=30,"Under 30 Days",IF(H105&lt;=60,"31–60 Days",IF(H105&lt;=90,"61–90 Days",IF(H105&lt;=120,"91–120 Days",IF(H105&lt;=150,"121–150 Days","151+ Days"))))))))</f>
        <v/>
      </c>
    </row>
    <row r="106">
      <c r="A106" s="7" t="n"/>
      <c r="B106" s="7" t="n"/>
      <c r="C106" s="7" t="n"/>
      <c r="D106" s="7" t="n"/>
      <c r="E106" s="17" t="n"/>
      <c r="F106" s="8" t="n"/>
      <c r="G106" s="18" t="n"/>
      <c r="H106" s="19">
        <f>IF(A106="","",IF(UPPER(G106)="Y","",IF(E106="","",TODAY()-E106)))</f>
        <v/>
      </c>
      <c r="I106" s="7">
        <f>IF(A106="","",IF(UPPER(G106)="Y","Paid",IF(E106="","Date Needed",IF(H106&lt;=30,"Under 30 Days",IF(H106&lt;=60,"31–60 Days",IF(H106&lt;=90,"61–90 Days",IF(H106&lt;=120,"91–120 Days",IF(H106&lt;=150,"121–150 Days","151+ Days"))))))))</f>
        <v/>
      </c>
    </row>
  </sheetData>
  <conditionalFormatting sqref="A11:I106">
    <cfRule type="expression" priority="1" dxfId="0">
      <formula>UPPER($G11)="Y"</formula>
    </cfRule>
    <cfRule type="expression" priority="2" dxfId="1">
      <formula>AND($A11&lt;&gt;"",ISNUMBER($H11),$H11&gt;60)</formula>
    </cfRule>
    <cfRule type="expression" priority="3" dxfId="2">
      <formula>AND($A11&lt;&gt;"",ISNUMBER($H11),$H11&gt;30)</formula>
    </cfRule>
  </conditionalFormatting>
  <dataValidations count="1">
    <dataValidation sqref="G11:G106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2026-10-10T09:25:15Z</dcterms:created>
  <dcterms:modified xmlns:dcterms="http://purl.org/dc/terms/" xmlns:xsi="http://www.w3.org/2001/XMLSchema-instance" xsi:type="dcterms:W3CDTF">2026-10-10T09:25:15Z</dcterms:modified>
</cp:coreProperties>
</file>